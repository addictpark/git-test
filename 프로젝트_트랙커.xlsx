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시보드" sheetId="1" state="visible" r:id="rId1"/>
    <sheet name="설정" sheetId="2" state="visible" r:id="rId2"/>
    <sheet name="프로젝트" sheetId="3" state="visible" r:id="rId3"/>
    <sheet name="작업" sheetId="4" state="visible" r:id="rId4"/>
    <sheet name="간트차트" sheetId="5" state="visible" r:id="rId5"/>
  </sheets>
  <definedNames>
    <definedName name="상태목록">설정!$B$6:$B$10</definedName>
    <definedName name="우선순위목록">설정!$C$6:$C$8</definedName>
    <definedName name="분류목록">설정!$D$6:$D$11</definedName>
    <definedName name="팀원목록">설정!$E$6:$E$10</definedName>
    <definedName name="_xlnm._FilterDatabase" localSheetId="2" hidden="1">'프로젝트'!$B$5:$M$105</definedName>
    <definedName name="_xlnm._FilterDatabase" localSheetId="3" hidden="1">'작업'!$B$5:$L$105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"/>
  </numFmts>
  <fonts count="23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F4E79"/>
      <sz val="10"/>
    </font>
    <font>
      <name val="맑은 고딕"/>
      <b val="1"/>
      <color rgb="009C6500"/>
      <sz val="10"/>
    </font>
    <font>
      <name val="맑은 고딕"/>
      <b val="1"/>
      <color rgb="00006100"/>
      <sz val="10"/>
    </font>
    <font>
      <name val="맑은 고딕"/>
      <b val="1"/>
      <color rgb="00404040"/>
      <sz val="10"/>
    </font>
    <font>
      <name val="맑은 고딕"/>
      <b val="1"/>
      <color rgb="009C0006"/>
      <sz val="10"/>
    </font>
    <font>
      <name val="맑은 고딕"/>
      <b val="1"/>
      <sz val="10"/>
    </font>
    <font>
      <name val="맑은 고딕"/>
      <b val="1"/>
      <color rgb="002E75B6"/>
      <sz val="10"/>
    </font>
    <font>
      <name val="맑은 고딕"/>
      <b val="1"/>
      <color rgb="001F3864"/>
      <sz val="18"/>
    </font>
    <font>
      <name val="맑은 고딕"/>
      <color rgb="00808080"/>
      <sz val="10"/>
    </font>
    <font>
      <name val="맑은 고딕"/>
      <b val="1"/>
      <color rgb="00FFFFFF"/>
      <sz val="20"/>
    </font>
    <font>
      <name val="맑은 고딕"/>
      <b val="1"/>
      <color rgb="001F3864"/>
      <sz val="12"/>
    </font>
    <font>
      <name val="맑은 고딕"/>
      <b val="1"/>
      <color rgb="00C00000"/>
      <sz val="10"/>
    </font>
    <font>
      <name val="맑은 고딕"/>
      <b val="1"/>
      <color rgb="00ED7D31"/>
      <sz val="10"/>
    </font>
    <font>
      <name val="맑은 고딕"/>
      <b val="1"/>
      <color rgb="0070AD47"/>
      <sz val="10"/>
    </font>
    <font>
      <name val="맑은 고딕"/>
      <b val="1"/>
      <color rgb="00C00000"/>
      <sz val="12"/>
    </font>
    <font>
      <name val="맑은 고딕"/>
      <color rgb="00595959"/>
      <sz val="10"/>
    </font>
    <font>
      <name val="맑은 고딕"/>
      <b val="1"/>
      <color rgb="001F3864"/>
      <sz val="10"/>
    </font>
    <font>
      <name val="맑은 고딕"/>
      <color rgb="00404040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30A0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E7EDF5"/>
      </left>
      <right style="thin">
        <color rgb="00E7EDF5"/>
      </right>
      <top style="thin">
        <color rgb="00E7EDF5"/>
      </top>
      <bottom style="thin">
        <color rgb="00E7EDF5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3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3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14" fillId="2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center" vertical="center"/>
    </xf>
    <xf numFmtId="9" fontId="14" fillId="13" borderId="0" applyAlignment="1" pivotButton="0" quotePrefix="0" xfId="0">
      <alignment horizontal="center" vertical="center"/>
    </xf>
    <xf numFmtId="0" fontId="1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/>
    </xf>
    <xf numFmtId="164" fontId="11" fillId="8" borderId="1" pivotButton="0" quotePrefix="0" xfId="0"/>
    <xf numFmtId="165" fontId="3" fillId="2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 hidden="0"/>
  </cellStyles>
  <dxfs count="11">
    <dxf>
      <font>
        <name val="맑은 고딕"/>
        <b val="1"/>
        <color rgb="001F4E79"/>
      </font>
      <fill>
        <patternFill patternType="solid">
          <fgColor rgb="00DDEBF7"/>
        </patternFill>
      </fill>
    </dxf>
    <dxf>
      <font>
        <name val="맑은 고딕"/>
        <b val="1"/>
        <color rgb="009C6500"/>
      </font>
      <fill>
        <patternFill patternType="solid">
          <fgColor rgb="00FFEB9C"/>
        </patternFill>
      </fill>
    </dxf>
    <dxf>
      <font>
        <name val="맑은 고딕"/>
        <b val="1"/>
        <color rgb="00006100"/>
      </font>
      <fill>
        <patternFill patternType="solid">
          <fgColor rgb="00C6EFCE"/>
        </patternFill>
      </fill>
    </dxf>
    <dxf>
      <font>
        <name val="맑은 고딕"/>
        <b val="1"/>
        <color rgb="00404040"/>
      </font>
      <fill>
        <patternFill patternType="solid">
          <fgColor rgb="00D9D9D9"/>
        </patternFill>
      </fill>
    </dxf>
    <dxf>
      <font>
        <name val="맑은 고딕"/>
        <b val="1"/>
        <color rgb="009C0006"/>
      </font>
      <fill>
        <patternFill patternType="solid">
          <fgColor rgb="00FFC7CE"/>
        </patternFill>
      </fill>
    </dxf>
    <dxf>
      <font>
        <name val="맑은 고딕"/>
        <b val="1"/>
        <color rgb="00C00000"/>
      </font>
    </dxf>
    <dxf>
      <font>
        <name val="맑은 고딕"/>
        <b val="1"/>
        <color rgb="00C55A11"/>
      </font>
      <fill>
        <patternFill patternType="solid">
          <fgColor rgb="00FFE4C4"/>
        </patternFill>
      </fill>
    </dxf>
    <dxf>
      <fill>
        <patternFill patternType="solid">
          <fgColor rgb="0070AD47"/>
        </patternFill>
      </fill>
    </dxf>
    <dxf>
      <fill>
        <patternFill patternType="solid">
          <fgColor rgb="00C00000"/>
        </patternFill>
      </fill>
    </dxf>
    <dxf>
      <fill>
        <patternFill patternType="solid">
          <fgColor rgb="002E75B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/>
    <row r="2">
      <c r="B2" s="1" t="inlineStr">
        <is>
          <t>📊 프로젝트 대시보드</t>
        </is>
      </c>
    </row>
    <row r="3">
      <c r="B3" s="2">
        <f>TEXT(TODAY(),"yyyy년 mm월 dd일")&amp;" 기준 · 프로젝트 시트 데이터가 자동 집계됩니다."</f>
        <v/>
      </c>
    </row>
    <row r="5" ht="20" customHeight="1">
      <c r="B5" s="3" t="inlineStr">
        <is>
          <t>전체 프로젝트</t>
        </is>
      </c>
      <c r="C5" s="4" t="n"/>
      <c r="D5" s="5" t="inlineStr">
        <is>
          <t>진행중</t>
        </is>
      </c>
      <c r="E5" s="6" t="n"/>
      <c r="F5" s="7" t="inlineStr">
        <is>
          <t>완료</t>
        </is>
      </c>
      <c r="G5" s="8" t="n"/>
      <c r="H5" s="9" t="inlineStr">
        <is>
          <t>지연</t>
        </is>
      </c>
      <c r="I5" s="10" t="n"/>
      <c r="J5" s="11" t="inlineStr">
        <is>
          <t>마감 초과(미완료)</t>
        </is>
      </c>
      <c r="K5" s="12" t="n"/>
      <c r="L5" s="13" t="inlineStr">
        <is>
          <t>평균 진행률</t>
        </is>
      </c>
      <c r="M5" s="14" t="n"/>
    </row>
    <row r="6" ht="34" customHeight="1">
      <c r="B6" s="15">
        <f>COUNTIF(프로젝트!$B$6:$B$105,"&lt;&gt;")</f>
        <v/>
      </c>
      <c r="C6" s="4" t="n"/>
      <c r="D6" s="16">
        <f>COUNTIF(프로젝트!$G$6:$G$105,"진행중")</f>
        <v/>
      </c>
      <c r="E6" s="6" t="n"/>
      <c r="F6" s="17">
        <f>COUNTIF(프로젝트!$G$6:$G$105,"완료")</f>
        <v/>
      </c>
      <c r="G6" s="8" t="n"/>
      <c r="H6" s="18">
        <f>COUNTIF(프로젝트!$G$6:$G$105,"지연")</f>
        <v/>
      </c>
      <c r="I6" s="10" t="n"/>
      <c r="J6" s="19">
        <f>COUNTIFS(프로젝트!$B$6:$B$105,"&lt;&gt;",프로젝트!$G$6:$G$105,"&lt;&gt;완료",프로젝트!$I$6:$I$105,"&lt;"&amp;TODAY())</f>
        <v/>
      </c>
      <c r="K6" s="12" t="n"/>
      <c r="L6" s="20">
        <f>IFERROR(AVERAGEIF(프로젝트!$B$6:$B$105,"&lt;&gt;",프로젝트!$J$6:$J$105),0)</f>
        <v/>
      </c>
      <c r="M6" s="14" t="n"/>
    </row>
    <row r="9">
      <c r="B9" s="21" t="inlineStr">
        <is>
          <t>상태별 프로젝트 수</t>
        </is>
      </c>
      <c r="F9" s="21" t="inlineStr">
        <is>
          <t>우선순위별 프로젝트 수</t>
        </is>
      </c>
      <c r="I9" s="21" t="inlineStr">
        <is>
          <t>작업(태스크) 현황</t>
        </is>
      </c>
    </row>
    <row r="10">
      <c r="B10" s="22" t="inlineStr">
        <is>
          <t>상태</t>
        </is>
      </c>
      <c r="C10" s="22" t="inlineStr">
        <is>
          <t>건수</t>
        </is>
      </c>
      <c r="D10" s="22" t="inlineStr">
        <is>
          <t>비율</t>
        </is>
      </c>
      <c r="F10" s="22" t="inlineStr">
        <is>
          <t>우선순위</t>
        </is>
      </c>
      <c r="G10" s="22" t="inlineStr">
        <is>
          <t>건수</t>
        </is>
      </c>
      <c r="I10" s="22" t="inlineStr">
        <is>
          <t>구분</t>
        </is>
      </c>
      <c r="J10" s="22" t="inlineStr">
        <is>
          <t>건수</t>
        </is>
      </c>
    </row>
    <row r="11">
      <c r="B11" s="23" t="inlineStr">
        <is>
          <t>계획</t>
        </is>
      </c>
      <c r="C11" s="24">
        <f>COUNTIF(프로젝트!$G$6:$G$105,"계획")</f>
        <v/>
      </c>
      <c r="D11" s="25">
        <f>IFERROR(C11/COUNTIF(프로젝트!$B$6:$B$105,"&lt;&gt;"),0)</f>
        <v/>
      </c>
      <c r="F11" s="26" t="inlineStr">
        <is>
          <t>높음</t>
        </is>
      </c>
      <c r="G11" s="24">
        <f>COUNTIF(프로젝트!$F$6:$F$105,"높음")</f>
        <v/>
      </c>
      <c r="I11" s="24" t="inlineStr">
        <is>
          <t>전체 작업</t>
        </is>
      </c>
      <c r="J11" s="24">
        <f>COUNTIF(작업!$B$6:$B$105,"&lt;&gt;")</f>
        <v/>
      </c>
    </row>
    <row r="12">
      <c r="B12" s="27" t="inlineStr">
        <is>
          <t>진행중</t>
        </is>
      </c>
      <c r="C12" s="24">
        <f>COUNTIF(프로젝트!$G$6:$G$105,"진행중")</f>
        <v/>
      </c>
      <c r="D12" s="25">
        <f>IFERROR(C12/COUNTIF(프로젝트!$B$6:$B$105,"&lt;&gt;"),0)</f>
        <v/>
      </c>
      <c r="F12" s="28" t="inlineStr">
        <is>
          <t>중간</t>
        </is>
      </c>
      <c r="G12" s="24">
        <f>COUNTIF(프로젝트!$F$6:$F$105,"중간")</f>
        <v/>
      </c>
      <c r="I12" s="24" t="inlineStr">
        <is>
          <t>진행중</t>
        </is>
      </c>
      <c r="J12" s="24">
        <f>COUNTIF(작업!$G$6:$G$105,"진행중")</f>
        <v/>
      </c>
    </row>
    <row r="13">
      <c r="B13" s="29" t="inlineStr">
        <is>
          <t>완료</t>
        </is>
      </c>
      <c r="C13" s="24">
        <f>COUNTIF(프로젝트!$G$6:$G$105,"완료")</f>
        <v/>
      </c>
      <c r="D13" s="25">
        <f>IFERROR(C13/COUNTIF(프로젝트!$B$6:$B$105,"&lt;&gt;"),0)</f>
        <v/>
      </c>
      <c r="F13" s="30" t="inlineStr">
        <is>
          <t>낮음</t>
        </is>
      </c>
      <c r="G13" s="24">
        <f>COUNTIF(프로젝트!$F$6:$F$105,"낮음")</f>
        <v/>
      </c>
      <c r="I13" s="24" t="inlineStr">
        <is>
          <t>완료</t>
        </is>
      </c>
      <c r="J13" s="24">
        <f>COUNTIF(작업!$G$6:$G$105,"완료")</f>
        <v/>
      </c>
    </row>
    <row r="14">
      <c r="B14" s="31" t="inlineStr">
        <is>
          <t>보류</t>
        </is>
      </c>
      <c r="C14" s="24">
        <f>COUNTIF(프로젝트!$G$6:$G$105,"보류")</f>
        <v/>
      </c>
      <c r="D14" s="25">
        <f>IFERROR(C14/COUNTIF(프로젝트!$B$6:$B$105,"&lt;&gt;"),0)</f>
        <v/>
      </c>
      <c r="I14" s="24" t="inlineStr">
        <is>
          <t>지연</t>
        </is>
      </c>
      <c r="J14" s="24">
        <f>COUNTIF(작업!$G$6:$G$105,"지연")</f>
        <v/>
      </c>
    </row>
    <row r="15">
      <c r="B15" s="32" t="inlineStr">
        <is>
          <t>지연</t>
        </is>
      </c>
      <c r="C15" s="24">
        <f>COUNTIF(프로젝트!$G$6:$G$105,"지연")</f>
        <v/>
      </c>
      <c r="D15" s="25">
        <f>IFERROR(C15/COUNTIF(프로젝트!$B$6:$B$105,"&lt;&gt;"),0)</f>
        <v/>
      </c>
    </row>
    <row r="18">
      <c r="B18" s="33" t="inlineStr">
        <is>
          <t>⚠️ 확인이 필요한 프로젝트</t>
        </is>
      </c>
    </row>
    <row r="19">
      <c r="B19" s="34" t="inlineStr">
        <is>
          <t>프로젝트 시트에서 '남은 일수'가 빨간색(마감 초과) 또는 주황색(7일 이내)으로 표시된 항목을 확인하세요.</t>
        </is>
      </c>
    </row>
    <row r="22">
      <c r="B22" s="35" t="inlineStr">
        <is>
          <t>📌 사용 방법</t>
        </is>
      </c>
    </row>
    <row r="23">
      <c r="B23" s="36" t="inlineStr">
        <is>
          <t>1. [프로젝트] 시트에 프로젝트를 등록합니다. 상태·우선순위·분류·담당자는 드롭다운으로 선택하세요.</t>
        </is>
      </c>
    </row>
    <row r="24">
      <c r="B24" s="36" t="inlineStr">
        <is>
          <t>2. [작업] 시트에 프로젝트별 세부 작업을 등록하고 프로젝트 ID로 연결합니다.</t>
        </is>
      </c>
    </row>
    <row r="25">
      <c r="B25" s="36" t="inlineStr">
        <is>
          <t>3. [간트차트] 시트에서 전체 일정을 한눈에 확인합니다. (파랑=진행, 초록=완료, 빨강=지연, 노랑 열=이번 주)</t>
        </is>
      </c>
    </row>
    <row r="26">
      <c r="B26" s="36" t="inlineStr">
        <is>
          <t>4. 이 대시보드는 자동으로 집계됩니다. 진행률은 프로젝트 시트에서 직접 입력하세요.</t>
        </is>
      </c>
    </row>
    <row r="27">
      <c r="B27" s="36" t="inlineStr">
        <is>
          <t>5. [설정] 시트에서 팀원·분류 등 드롭다운 목록을 수정할 수 있습니다.</t>
        </is>
      </c>
    </row>
  </sheetData>
  <mergeCells count="12">
    <mergeCell ref="D6:E6"/>
    <mergeCell ref="B6:C6"/>
    <mergeCell ref="H6:I6"/>
    <mergeCell ref="J5:K5"/>
    <mergeCell ref="J6:K6"/>
    <mergeCell ref="L6:M6"/>
    <mergeCell ref="B5:C5"/>
    <mergeCell ref="F5:G5"/>
    <mergeCell ref="D5:E5"/>
    <mergeCell ref="F6:G6"/>
    <mergeCell ref="H5:I5"/>
    <mergeCell ref="L5:M5"/>
  </mergeCells>
  <conditionalFormatting sqref="C11:C15">
    <cfRule type="dataBar" priority="1">
      <dataBar showValue="1">
        <cfvo type="num" val="0"/>
        <cfvo type="max"/>
        <color rgb="002E75B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7" max="7"/>
  </cols>
  <sheetData>
    <row r="2">
      <c r="B2" s="37" t="inlineStr">
        <is>
          <t>⚙️ 설정 - 드롭다운 목록 관리</t>
        </is>
      </c>
    </row>
    <row r="3">
      <c r="B3" s="38" t="inlineStr">
        <is>
          <t>아래 목록을 수정하면 각 시트의 드롭다운 선택지가 바뀝니다. (항목 추가 시 이름 관리자에서 범위 확장 필요)</t>
        </is>
      </c>
    </row>
    <row r="5">
      <c r="B5" s="22" t="inlineStr">
        <is>
          <t>상태</t>
        </is>
      </c>
      <c r="C5" s="22" t="inlineStr">
        <is>
          <t>우선순위</t>
        </is>
      </c>
      <c r="D5" s="22" t="inlineStr">
        <is>
          <t>분류</t>
        </is>
      </c>
      <c r="E5" s="22" t="inlineStr">
        <is>
          <t>팀원</t>
        </is>
      </c>
      <c r="G5" s="22" t="inlineStr">
        <is>
          <t>상태별 색상</t>
        </is>
      </c>
    </row>
    <row r="6">
      <c r="B6" s="24" t="inlineStr">
        <is>
          <t>계획</t>
        </is>
      </c>
      <c r="C6" s="24" t="inlineStr">
        <is>
          <t>높음</t>
        </is>
      </c>
      <c r="D6" s="24" t="inlineStr">
        <is>
          <t>개발</t>
        </is>
      </c>
      <c r="E6" s="24" t="inlineStr">
        <is>
          <t>김철수</t>
        </is>
      </c>
      <c r="G6" s="23" t="inlineStr">
        <is>
          <t>계획</t>
        </is>
      </c>
    </row>
    <row r="7">
      <c r="B7" s="24" t="inlineStr">
        <is>
          <t>진행중</t>
        </is>
      </c>
      <c r="C7" s="24" t="inlineStr">
        <is>
          <t>중간</t>
        </is>
      </c>
      <c r="D7" s="24" t="inlineStr">
        <is>
          <t>디자인</t>
        </is>
      </c>
      <c r="E7" s="24" t="inlineStr">
        <is>
          <t>이영희</t>
        </is>
      </c>
      <c r="G7" s="27" t="inlineStr">
        <is>
          <t>진행중</t>
        </is>
      </c>
    </row>
    <row r="8">
      <c r="B8" s="24" t="inlineStr">
        <is>
          <t>완료</t>
        </is>
      </c>
      <c r="C8" s="24" t="inlineStr">
        <is>
          <t>낮음</t>
        </is>
      </c>
      <c r="D8" s="24" t="inlineStr">
        <is>
          <t>마케팅</t>
        </is>
      </c>
      <c r="E8" s="24" t="inlineStr">
        <is>
          <t>박민수</t>
        </is>
      </c>
      <c r="G8" s="29" t="inlineStr">
        <is>
          <t>완료</t>
        </is>
      </c>
    </row>
    <row r="9">
      <c r="B9" s="24" t="inlineStr">
        <is>
          <t>보류</t>
        </is>
      </c>
      <c r="D9" s="24" t="inlineStr">
        <is>
          <t>운영</t>
        </is>
      </c>
      <c r="E9" s="24" t="inlineStr">
        <is>
          <t>정수진</t>
        </is>
      </c>
      <c r="G9" s="31" t="inlineStr">
        <is>
          <t>보류</t>
        </is>
      </c>
    </row>
    <row r="10">
      <c r="B10" s="24" t="inlineStr">
        <is>
          <t>지연</t>
        </is>
      </c>
      <c r="D10" s="24" t="inlineStr">
        <is>
          <t>기획</t>
        </is>
      </c>
      <c r="E10" s="24" t="inlineStr">
        <is>
          <t>최지훈</t>
        </is>
      </c>
      <c r="G10" s="32" t="inlineStr">
        <is>
          <t>지연</t>
        </is>
      </c>
    </row>
    <row r="11">
      <c r="D11" s="24" t="inlineStr">
        <is>
          <t>기타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10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9" customWidth="1" min="12" max="12"/>
    <col width="30" customWidth="1" min="13" max="13"/>
  </cols>
  <sheetData>
    <row r="2">
      <c r="B2" s="37" t="inlineStr">
        <is>
          <t>📋 프로젝트 목록</t>
        </is>
      </c>
    </row>
    <row r="3">
      <c r="B3" s="38" t="inlineStr">
        <is>
          <t>행을 추가하면 수식(남은 일수·기간)을 아래로 복사하세요. 상태/우선순위 등은 드롭다운으로 선택합니다.</t>
        </is>
      </c>
    </row>
    <row r="5" ht="28" customHeight="1">
      <c r="B5" s="22" t="inlineStr">
        <is>
          <t>프로젝트 ID</t>
        </is>
      </c>
      <c r="C5" s="22" t="inlineStr">
        <is>
          <t>프로젝트명</t>
        </is>
      </c>
      <c r="D5" s="22" t="inlineStr">
        <is>
          <t>담당자</t>
        </is>
      </c>
      <c r="E5" s="22" t="inlineStr">
        <is>
          <t>분류</t>
        </is>
      </c>
      <c r="F5" s="22" t="inlineStr">
        <is>
          <t>우선순위</t>
        </is>
      </c>
      <c r="G5" s="22" t="inlineStr">
        <is>
          <t>상태</t>
        </is>
      </c>
      <c r="H5" s="22" t="inlineStr">
        <is>
          <t>시작일</t>
        </is>
      </c>
      <c r="I5" s="22" t="inlineStr">
        <is>
          <t>마감일</t>
        </is>
      </c>
      <c r="J5" s="22" t="inlineStr">
        <is>
          <t>진행률</t>
        </is>
      </c>
      <c r="K5" s="22" t="inlineStr">
        <is>
          <t>남은 일수</t>
        </is>
      </c>
      <c r="L5" s="22" t="inlineStr">
        <is>
          <t>기간(일)</t>
        </is>
      </c>
      <c r="M5" s="22" t="inlineStr">
        <is>
          <t>비고</t>
        </is>
      </c>
    </row>
    <row r="6">
      <c r="B6" s="24" t="inlineStr">
        <is>
          <t>PRJ-001</t>
        </is>
      </c>
      <c r="C6" s="39" t="inlineStr">
        <is>
          <t>신규 홈페이지 리뉴얼</t>
        </is>
      </c>
      <c r="D6" s="24" t="inlineStr">
        <is>
          <t>김철수</t>
        </is>
      </c>
      <c r="E6" s="24" t="inlineStr">
        <is>
          <t>개발</t>
        </is>
      </c>
      <c r="F6" s="24" t="inlineStr">
        <is>
          <t>높음</t>
        </is>
      </c>
      <c r="G6" s="24" t="inlineStr">
        <is>
          <t>진행중</t>
        </is>
      </c>
      <c r="H6" s="40" t="n">
        <v>46174</v>
      </c>
      <c r="I6" s="40" t="n">
        <v>46248</v>
      </c>
      <c r="J6" s="25" t="n">
        <v>0.55</v>
      </c>
      <c r="K6" s="24">
        <f>IF($B6="","",IF($G6="완료","-",I6-TODAY()))</f>
        <v/>
      </c>
      <c r="L6" s="24">
        <f>IF($B6="","",I6-H6+1)</f>
        <v/>
      </c>
      <c r="M6" s="39" t="inlineStr">
        <is>
          <t>메인 페이지 시안 확정</t>
        </is>
      </c>
    </row>
    <row r="7">
      <c r="B7" s="24" t="inlineStr">
        <is>
          <t>PRJ-002</t>
        </is>
      </c>
      <c r="C7" s="39" t="inlineStr">
        <is>
          <t>모바일 앱 v2.0 출시</t>
        </is>
      </c>
      <c r="D7" s="24" t="inlineStr">
        <is>
          <t>이영희</t>
        </is>
      </c>
      <c r="E7" s="24" t="inlineStr">
        <is>
          <t>개발</t>
        </is>
      </c>
      <c r="F7" s="24" t="inlineStr">
        <is>
          <t>높음</t>
        </is>
      </c>
      <c r="G7" s="24" t="inlineStr">
        <is>
          <t>진행중</t>
        </is>
      </c>
      <c r="H7" s="40" t="n">
        <v>46160</v>
      </c>
      <c r="I7" s="40" t="n">
        <v>46234</v>
      </c>
      <c r="J7" s="25" t="n">
        <v>0.72</v>
      </c>
      <c r="K7" s="24">
        <f>IF($B7="","",IF($G7="완료","-",I7-TODAY()))</f>
        <v/>
      </c>
      <c r="L7" s="24">
        <f>IF($B7="","",I7-H7+1)</f>
        <v/>
      </c>
      <c r="M7" s="39" t="inlineStr">
        <is>
          <t>QA 진행 중</t>
        </is>
      </c>
    </row>
    <row r="8">
      <c r="B8" s="24" t="inlineStr">
        <is>
          <t>PRJ-003</t>
        </is>
      </c>
      <c r="C8" s="39" t="inlineStr">
        <is>
          <t>여름 프로모션 캠페인</t>
        </is>
      </c>
      <c r="D8" s="24" t="inlineStr">
        <is>
          <t>박민수</t>
        </is>
      </c>
      <c r="E8" s="24" t="inlineStr">
        <is>
          <t>마케팅</t>
        </is>
      </c>
      <c r="F8" s="24" t="inlineStr">
        <is>
          <t>중간</t>
        </is>
      </c>
      <c r="G8" s="24" t="inlineStr">
        <is>
          <t>완료</t>
        </is>
      </c>
      <c r="H8" s="40" t="n">
        <v>46174</v>
      </c>
      <c r="I8" s="40" t="n">
        <v>46203</v>
      </c>
      <c r="J8" s="25" t="n">
        <v>1</v>
      </c>
      <c r="K8" s="24">
        <f>IF($B8="","",IF($G8="완료","-",I8-TODAY()))</f>
        <v/>
      </c>
      <c r="L8" s="24">
        <f>IF($B8="","",I8-H8+1)</f>
        <v/>
      </c>
      <c r="M8" s="39" t="inlineStr"/>
    </row>
    <row r="9">
      <c r="B9" s="24" t="inlineStr">
        <is>
          <t>PRJ-004</t>
        </is>
      </c>
      <c r="C9" s="39" t="inlineStr">
        <is>
          <t>사내 ERP 도입 검토</t>
        </is>
      </c>
      <c r="D9" s="24" t="inlineStr">
        <is>
          <t>정수진</t>
        </is>
      </c>
      <c r="E9" s="24" t="inlineStr">
        <is>
          <t>운영</t>
        </is>
      </c>
      <c r="F9" s="24" t="inlineStr">
        <is>
          <t>낮음</t>
        </is>
      </c>
      <c r="G9" s="24" t="inlineStr">
        <is>
          <t>보류</t>
        </is>
      </c>
      <c r="H9" s="40" t="n">
        <v>46204</v>
      </c>
      <c r="I9" s="40" t="n">
        <v>46295</v>
      </c>
      <c r="J9" s="25" t="n">
        <v>0.1</v>
      </c>
      <c r="K9" s="24">
        <f>IF($B9="","",IF($G9="완료","-",I9-TODAY()))</f>
        <v/>
      </c>
      <c r="L9" s="24">
        <f>IF($B9="","",I9-H9+1)</f>
        <v/>
      </c>
      <c r="M9" s="39" t="inlineStr">
        <is>
          <t>예산 승인 대기</t>
        </is>
      </c>
    </row>
    <row r="10">
      <c r="B10" s="24" t="inlineStr">
        <is>
          <t>PRJ-005</t>
        </is>
      </c>
      <c r="C10" s="39" t="inlineStr">
        <is>
          <t>브랜드 리디자인</t>
        </is>
      </c>
      <c r="D10" s="24" t="inlineStr">
        <is>
          <t>최지훈</t>
        </is>
      </c>
      <c r="E10" s="24" t="inlineStr">
        <is>
          <t>디자인</t>
        </is>
      </c>
      <c r="F10" s="24" t="inlineStr">
        <is>
          <t>중간</t>
        </is>
      </c>
      <c r="G10" s="24" t="inlineStr">
        <is>
          <t>지연</t>
        </is>
      </c>
      <c r="H10" s="40" t="n">
        <v>46143</v>
      </c>
      <c r="I10" s="40" t="n">
        <v>46208</v>
      </c>
      <c r="J10" s="25" t="n">
        <v>0.8</v>
      </c>
      <c r="K10" s="24">
        <f>IF($B10="","",IF($G10="완료","-",I10-TODAY()))</f>
        <v/>
      </c>
      <c r="L10" s="24">
        <f>IF($B10="","",I10-H10+1)</f>
        <v/>
      </c>
      <c r="M10" s="39" t="inlineStr">
        <is>
          <t>외주 일정 지연</t>
        </is>
      </c>
    </row>
    <row r="11">
      <c r="B11" s="24" t="inlineStr">
        <is>
          <t>PRJ-006</t>
        </is>
      </c>
      <c r="C11" s="39" t="inlineStr">
        <is>
          <t>고객 만족도 조사</t>
        </is>
      </c>
      <c r="D11" s="24" t="inlineStr">
        <is>
          <t>이영희</t>
        </is>
      </c>
      <c r="E11" s="24" t="inlineStr">
        <is>
          <t>기획</t>
        </is>
      </c>
      <c r="F11" s="24" t="inlineStr">
        <is>
          <t>중간</t>
        </is>
      </c>
      <c r="G11" s="24" t="inlineStr">
        <is>
          <t>계획</t>
        </is>
      </c>
      <c r="H11" s="40" t="n">
        <v>46224</v>
      </c>
      <c r="I11" s="40" t="n">
        <v>46242</v>
      </c>
      <c r="J11" s="25" t="n">
        <v>0</v>
      </c>
      <c r="K11" s="24">
        <f>IF($B11="","",IF($G11="완료","-",I11-TODAY()))</f>
        <v/>
      </c>
      <c r="L11" s="24">
        <f>IF($B11="","",I11-H11+1)</f>
        <v/>
      </c>
      <c r="M11" s="39" t="inlineStr">
        <is>
          <t>설문 문항 설계 예정</t>
        </is>
      </c>
    </row>
    <row r="12">
      <c r="B12" s="24" t="n"/>
      <c r="C12" s="39" t="n"/>
      <c r="D12" s="24" t="n"/>
      <c r="E12" s="24" t="n"/>
      <c r="F12" s="24" t="n"/>
      <c r="G12" s="24" t="n"/>
      <c r="H12" s="40" t="n"/>
      <c r="I12" s="40" t="n"/>
      <c r="J12" s="25" t="n"/>
      <c r="K12" s="24">
        <f>IF($B12="","",IF($G12="완료","-",I12-TODAY()))</f>
        <v/>
      </c>
      <c r="L12" s="24">
        <f>IF($B12="","",I12-H12+1)</f>
        <v/>
      </c>
      <c r="M12" s="39" t="n"/>
    </row>
    <row r="13">
      <c r="B13" s="24" t="n"/>
      <c r="C13" s="39" t="n"/>
      <c r="D13" s="24" t="n"/>
      <c r="E13" s="24" t="n"/>
      <c r="F13" s="24" t="n"/>
      <c r="G13" s="24" t="n"/>
      <c r="H13" s="40" t="n"/>
      <c r="I13" s="40" t="n"/>
      <c r="J13" s="25" t="n"/>
      <c r="K13" s="24">
        <f>IF($B13="","",IF($G13="완료","-",I13-TODAY()))</f>
        <v/>
      </c>
      <c r="L13" s="24">
        <f>IF($B13="","",I13-H13+1)</f>
        <v/>
      </c>
      <c r="M13" s="39" t="n"/>
    </row>
    <row r="14">
      <c r="B14" s="24" t="n"/>
      <c r="C14" s="39" t="n"/>
      <c r="D14" s="24" t="n"/>
      <c r="E14" s="24" t="n"/>
      <c r="F14" s="24" t="n"/>
      <c r="G14" s="24" t="n"/>
      <c r="H14" s="40" t="n"/>
      <c r="I14" s="40" t="n"/>
      <c r="J14" s="25" t="n"/>
      <c r="K14" s="24">
        <f>IF($B14="","",IF($G14="완료","-",I14-TODAY()))</f>
        <v/>
      </c>
      <c r="L14" s="24">
        <f>IF($B14="","",I14-H14+1)</f>
        <v/>
      </c>
      <c r="M14" s="39" t="n"/>
    </row>
    <row r="15">
      <c r="B15" s="24" t="n"/>
      <c r="C15" s="39" t="n"/>
      <c r="D15" s="24" t="n"/>
      <c r="E15" s="24" t="n"/>
      <c r="F15" s="24" t="n"/>
      <c r="G15" s="24" t="n"/>
      <c r="H15" s="40" t="n"/>
      <c r="I15" s="40" t="n"/>
      <c r="J15" s="25" t="n"/>
      <c r="K15" s="24">
        <f>IF($B15="","",IF($G15="완료","-",I15-TODAY()))</f>
        <v/>
      </c>
      <c r="L15" s="24">
        <f>IF($B15="","",I15-H15+1)</f>
        <v/>
      </c>
      <c r="M15" s="39" t="n"/>
    </row>
    <row r="16">
      <c r="B16" s="24" t="n"/>
      <c r="C16" s="39" t="n"/>
      <c r="D16" s="24" t="n"/>
      <c r="E16" s="24" t="n"/>
      <c r="F16" s="24" t="n"/>
      <c r="G16" s="24" t="n"/>
      <c r="H16" s="40" t="n"/>
      <c r="I16" s="40" t="n"/>
      <c r="J16" s="25" t="n"/>
      <c r="K16" s="24">
        <f>IF($B16="","",IF($G16="완료","-",I16-TODAY()))</f>
        <v/>
      </c>
      <c r="L16" s="24">
        <f>IF($B16="","",I16-H16+1)</f>
        <v/>
      </c>
      <c r="M16" s="39" t="n"/>
    </row>
    <row r="17">
      <c r="B17" s="24" t="n"/>
      <c r="C17" s="39" t="n"/>
      <c r="D17" s="24" t="n"/>
      <c r="E17" s="24" t="n"/>
      <c r="F17" s="24" t="n"/>
      <c r="G17" s="24" t="n"/>
      <c r="H17" s="40" t="n"/>
      <c r="I17" s="40" t="n"/>
      <c r="J17" s="25" t="n"/>
      <c r="K17" s="24">
        <f>IF($B17="","",IF($G17="완료","-",I17-TODAY()))</f>
        <v/>
      </c>
      <c r="L17" s="24">
        <f>IF($B17="","",I17-H17+1)</f>
        <v/>
      </c>
      <c r="M17" s="39" t="n"/>
    </row>
    <row r="18">
      <c r="B18" s="24" t="n"/>
      <c r="C18" s="39" t="n"/>
      <c r="D18" s="24" t="n"/>
      <c r="E18" s="24" t="n"/>
      <c r="F18" s="24" t="n"/>
      <c r="G18" s="24" t="n"/>
      <c r="H18" s="40" t="n"/>
      <c r="I18" s="40" t="n"/>
      <c r="J18" s="25" t="n"/>
      <c r="K18" s="24">
        <f>IF($B18="","",IF($G18="완료","-",I18-TODAY()))</f>
        <v/>
      </c>
      <c r="L18" s="24">
        <f>IF($B18="","",I18-H18+1)</f>
        <v/>
      </c>
      <c r="M18" s="39" t="n"/>
    </row>
    <row r="19">
      <c r="B19" s="24" t="n"/>
      <c r="C19" s="39" t="n"/>
      <c r="D19" s="24" t="n"/>
      <c r="E19" s="24" t="n"/>
      <c r="F19" s="24" t="n"/>
      <c r="G19" s="24" t="n"/>
      <c r="H19" s="40" t="n"/>
      <c r="I19" s="40" t="n"/>
      <c r="J19" s="25" t="n"/>
      <c r="K19" s="24">
        <f>IF($B19="","",IF($G19="완료","-",I19-TODAY()))</f>
        <v/>
      </c>
      <c r="L19" s="24">
        <f>IF($B19="","",I19-H19+1)</f>
        <v/>
      </c>
      <c r="M19" s="39" t="n"/>
    </row>
    <row r="20">
      <c r="B20" s="24" t="n"/>
      <c r="C20" s="39" t="n"/>
      <c r="D20" s="24" t="n"/>
      <c r="E20" s="24" t="n"/>
      <c r="F20" s="24" t="n"/>
      <c r="G20" s="24" t="n"/>
      <c r="H20" s="40" t="n"/>
      <c r="I20" s="40" t="n"/>
      <c r="J20" s="25" t="n"/>
      <c r="K20" s="24">
        <f>IF($B20="","",IF($G20="완료","-",I20-TODAY()))</f>
        <v/>
      </c>
      <c r="L20" s="24">
        <f>IF($B20="","",I20-H20+1)</f>
        <v/>
      </c>
      <c r="M20" s="39" t="n"/>
    </row>
    <row r="21">
      <c r="B21" s="24" t="n"/>
      <c r="C21" s="39" t="n"/>
      <c r="D21" s="24" t="n"/>
      <c r="E21" s="24" t="n"/>
      <c r="F21" s="24" t="n"/>
      <c r="G21" s="24" t="n"/>
      <c r="H21" s="40" t="n"/>
      <c r="I21" s="40" t="n"/>
      <c r="J21" s="25" t="n"/>
      <c r="K21" s="24">
        <f>IF($B21="","",IF($G21="완료","-",I21-TODAY()))</f>
        <v/>
      </c>
      <c r="L21" s="24">
        <f>IF($B21="","",I21-H21+1)</f>
        <v/>
      </c>
      <c r="M21" s="39" t="n"/>
    </row>
    <row r="22">
      <c r="B22" s="24" t="n"/>
      <c r="C22" s="39" t="n"/>
      <c r="D22" s="24" t="n"/>
      <c r="E22" s="24" t="n"/>
      <c r="F22" s="24" t="n"/>
      <c r="G22" s="24" t="n"/>
      <c r="H22" s="40" t="n"/>
      <c r="I22" s="40" t="n"/>
      <c r="J22" s="25" t="n"/>
      <c r="K22" s="24">
        <f>IF($B22="","",IF($G22="완료","-",I22-TODAY()))</f>
        <v/>
      </c>
      <c r="L22" s="24">
        <f>IF($B22="","",I22-H22+1)</f>
        <v/>
      </c>
      <c r="M22" s="39" t="n"/>
    </row>
    <row r="23">
      <c r="B23" s="24" t="n"/>
      <c r="C23" s="39" t="n"/>
      <c r="D23" s="24" t="n"/>
      <c r="E23" s="24" t="n"/>
      <c r="F23" s="24" t="n"/>
      <c r="G23" s="24" t="n"/>
      <c r="H23" s="40" t="n"/>
      <c r="I23" s="40" t="n"/>
      <c r="J23" s="25" t="n"/>
      <c r="K23" s="24">
        <f>IF($B23="","",IF($G23="완료","-",I23-TODAY()))</f>
        <v/>
      </c>
      <c r="L23" s="24">
        <f>IF($B23="","",I23-H23+1)</f>
        <v/>
      </c>
      <c r="M23" s="39" t="n"/>
    </row>
    <row r="24">
      <c r="B24" s="24" t="n"/>
      <c r="C24" s="39" t="n"/>
      <c r="D24" s="24" t="n"/>
      <c r="E24" s="24" t="n"/>
      <c r="F24" s="24" t="n"/>
      <c r="G24" s="24" t="n"/>
      <c r="H24" s="40" t="n"/>
      <c r="I24" s="40" t="n"/>
      <c r="J24" s="25" t="n"/>
      <c r="K24" s="24">
        <f>IF($B24="","",IF($G24="완료","-",I24-TODAY()))</f>
        <v/>
      </c>
      <c r="L24" s="24">
        <f>IF($B24="","",I24-H24+1)</f>
        <v/>
      </c>
      <c r="M24" s="39" t="n"/>
    </row>
    <row r="25">
      <c r="B25" s="24" t="n"/>
      <c r="C25" s="39" t="n"/>
      <c r="D25" s="24" t="n"/>
      <c r="E25" s="24" t="n"/>
      <c r="F25" s="24" t="n"/>
      <c r="G25" s="24" t="n"/>
      <c r="H25" s="40" t="n"/>
      <c r="I25" s="40" t="n"/>
      <c r="J25" s="25" t="n"/>
      <c r="K25" s="24">
        <f>IF($B25="","",IF($G25="완료","-",I25-TODAY()))</f>
        <v/>
      </c>
      <c r="L25" s="24">
        <f>IF($B25="","",I25-H25+1)</f>
        <v/>
      </c>
      <c r="M25" s="39" t="n"/>
    </row>
    <row r="26">
      <c r="B26" s="24" t="n"/>
      <c r="C26" s="39" t="n"/>
      <c r="D26" s="24" t="n"/>
      <c r="E26" s="24" t="n"/>
      <c r="F26" s="24" t="n"/>
      <c r="G26" s="24" t="n"/>
      <c r="H26" s="40" t="n"/>
      <c r="I26" s="40" t="n"/>
      <c r="J26" s="25" t="n"/>
      <c r="K26" s="24">
        <f>IF($B26="","",IF($G26="완료","-",I26-TODAY()))</f>
        <v/>
      </c>
      <c r="L26" s="24">
        <f>IF($B26="","",I26-H26+1)</f>
        <v/>
      </c>
      <c r="M26" s="39" t="n"/>
    </row>
    <row r="27">
      <c r="B27" s="24" t="n"/>
      <c r="C27" s="39" t="n"/>
      <c r="D27" s="24" t="n"/>
      <c r="E27" s="24" t="n"/>
      <c r="F27" s="24" t="n"/>
      <c r="G27" s="24" t="n"/>
      <c r="H27" s="40" t="n"/>
      <c r="I27" s="40" t="n"/>
      <c r="J27" s="25" t="n"/>
      <c r="K27" s="24">
        <f>IF($B27="","",IF($G27="완료","-",I27-TODAY()))</f>
        <v/>
      </c>
      <c r="L27" s="24">
        <f>IF($B27="","",I27-H27+1)</f>
        <v/>
      </c>
      <c r="M27" s="39" t="n"/>
    </row>
    <row r="28">
      <c r="B28" s="24" t="n"/>
      <c r="C28" s="39" t="n"/>
      <c r="D28" s="24" t="n"/>
      <c r="E28" s="24" t="n"/>
      <c r="F28" s="24" t="n"/>
      <c r="G28" s="24" t="n"/>
      <c r="H28" s="40" t="n"/>
      <c r="I28" s="40" t="n"/>
      <c r="J28" s="25" t="n"/>
      <c r="K28" s="24">
        <f>IF($B28="","",IF($G28="완료","-",I28-TODAY()))</f>
        <v/>
      </c>
      <c r="L28" s="24">
        <f>IF($B28="","",I28-H28+1)</f>
        <v/>
      </c>
      <c r="M28" s="39" t="n"/>
    </row>
    <row r="29">
      <c r="B29" s="24" t="n"/>
      <c r="C29" s="39" t="n"/>
      <c r="D29" s="24" t="n"/>
      <c r="E29" s="24" t="n"/>
      <c r="F29" s="24" t="n"/>
      <c r="G29" s="24" t="n"/>
      <c r="H29" s="40" t="n"/>
      <c r="I29" s="40" t="n"/>
      <c r="J29" s="25" t="n"/>
      <c r="K29" s="24">
        <f>IF($B29="","",IF($G29="완료","-",I29-TODAY()))</f>
        <v/>
      </c>
      <c r="L29" s="24">
        <f>IF($B29="","",I29-H29+1)</f>
        <v/>
      </c>
      <c r="M29" s="39" t="n"/>
    </row>
    <row r="30">
      <c r="B30" s="24" t="n"/>
      <c r="C30" s="39" t="n"/>
      <c r="D30" s="24" t="n"/>
      <c r="E30" s="24" t="n"/>
      <c r="F30" s="24" t="n"/>
      <c r="G30" s="24" t="n"/>
      <c r="H30" s="40" t="n"/>
      <c r="I30" s="40" t="n"/>
      <c r="J30" s="25" t="n"/>
      <c r="K30" s="24">
        <f>IF($B30="","",IF($G30="완료","-",I30-TODAY()))</f>
        <v/>
      </c>
      <c r="L30" s="24">
        <f>IF($B30="","",I30-H30+1)</f>
        <v/>
      </c>
      <c r="M30" s="39" t="n"/>
    </row>
    <row r="31">
      <c r="B31" s="24" t="n"/>
      <c r="C31" s="39" t="n"/>
      <c r="D31" s="24" t="n"/>
      <c r="E31" s="24" t="n"/>
      <c r="F31" s="24" t="n"/>
      <c r="G31" s="24" t="n"/>
      <c r="H31" s="40" t="n"/>
      <c r="I31" s="40" t="n"/>
      <c r="J31" s="25" t="n"/>
      <c r="K31" s="24">
        <f>IF($B31="","",IF($G31="완료","-",I31-TODAY()))</f>
        <v/>
      </c>
      <c r="L31" s="24">
        <f>IF($B31="","",I31-H31+1)</f>
        <v/>
      </c>
      <c r="M31" s="39" t="n"/>
    </row>
    <row r="32">
      <c r="B32" s="24" t="n"/>
      <c r="C32" s="39" t="n"/>
      <c r="D32" s="24" t="n"/>
      <c r="E32" s="24" t="n"/>
      <c r="F32" s="24" t="n"/>
      <c r="G32" s="24" t="n"/>
      <c r="H32" s="40" t="n"/>
      <c r="I32" s="40" t="n"/>
      <c r="J32" s="25" t="n"/>
      <c r="K32" s="24">
        <f>IF($B32="","",IF($G32="완료","-",I32-TODAY()))</f>
        <v/>
      </c>
      <c r="L32" s="24">
        <f>IF($B32="","",I32-H32+1)</f>
        <v/>
      </c>
      <c r="M32" s="39" t="n"/>
    </row>
    <row r="33">
      <c r="B33" s="24" t="n"/>
      <c r="C33" s="39" t="n"/>
      <c r="D33" s="24" t="n"/>
      <c r="E33" s="24" t="n"/>
      <c r="F33" s="24" t="n"/>
      <c r="G33" s="24" t="n"/>
      <c r="H33" s="40" t="n"/>
      <c r="I33" s="40" t="n"/>
      <c r="J33" s="25" t="n"/>
      <c r="K33" s="24">
        <f>IF($B33="","",IF($G33="완료","-",I33-TODAY()))</f>
        <v/>
      </c>
      <c r="L33" s="24">
        <f>IF($B33="","",I33-H33+1)</f>
        <v/>
      </c>
      <c r="M33" s="39" t="n"/>
    </row>
    <row r="34">
      <c r="B34" s="24" t="n"/>
      <c r="C34" s="39" t="n"/>
      <c r="D34" s="24" t="n"/>
      <c r="E34" s="24" t="n"/>
      <c r="F34" s="24" t="n"/>
      <c r="G34" s="24" t="n"/>
      <c r="H34" s="40" t="n"/>
      <c r="I34" s="40" t="n"/>
      <c r="J34" s="25" t="n"/>
      <c r="K34" s="24">
        <f>IF($B34="","",IF($G34="완료","-",I34-TODAY()))</f>
        <v/>
      </c>
      <c r="L34" s="24">
        <f>IF($B34="","",I34-H34+1)</f>
        <v/>
      </c>
      <c r="M34" s="39" t="n"/>
    </row>
    <row r="35">
      <c r="B35" s="24" t="n"/>
      <c r="C35" s="39" t="n"/>
      <c r="D35" s="24" t="n"/>
      <c r="E35" s="24" t="n"/>
      <c r="F35" s="24" t="n"/>
      <c r="G35" s="24" t="n"/>
      <c r="H35" s="40" t="n"/>
      <c r="I35" s="40" t="n"/>
      <c r="J35" s="25" t="n"/>
      <c r="K35" s="24">
        <f>IF($B35="","",IF($G35="완료","-",I35-TODAY()))</f>
        <v/>
      </c>
      <c r="L35" s="24">
        <f>IF($B35="","",I35-H35+1)</f>
        <v/>
      </c>
      <c r="M35" s="39" t="n"/>
    </row>
    <row r="36">
      <c r="B36" s="24" t="n"/>
      <c r="C36" s="39" t="n"/>
      <c r="D36" s="24" t="n"/>
      <c r="E36" s="24" t="n"/>
      <c r="F36" s="24" t="n"/>
      <c r="G36" s="24" t="n"/>
      <c r="H36" s="40" t="n"/>
      <c r="I36" s="40" t="n"/>
      <c r="J36" s="25" t="n"/>
      <c r="K36" s="24">
        <f>IF($B36="","",IF($G36="완료","-",I36-TODAY()))</f>
        <v/>
      </c>
      <c r="L36" s="24">
        <f>IF($B36="","",I36-H36+1)</f>
        <v/>
      </c>
      <c r="M36" s="39" t="n"/>
    </row>
    <row r="37">
      <c r="B37" s="24" t="n"/>
      <c r="C37" s="39" t="n"/>
      <c r="D37" s="24" t="n"/>
      <c r="E37" s="24" t="n"/>
      <c r="F37" s="24" t="n"/>
      <c r="G37" s="24" t="n"/>
      <c r="H37" s="40" t="n"/>
      <c r="I37" s="40" t="n"/>
      <c r="J37" s="25" t="n"/>
      <c r="K37" s="24">
        <f>IF($B37="","",IF($G37="완료","-",I37-TODAY()))</f>
        <v/>
      </c>
      <c r="L37" s="24">
        <f>IF($B37="","",I37-H37+1)</f>
        <v/>
      </c>
      <c r="M37" s="39" t="n"/>
    </row>
    <row r="38">
      <c r="B38" s="24" t="n"/>
      <c r="C38" s="39" t="n"/>
      <c r="D38" s="24" t="n"/>
      <c r="E38" s="24" t="n"/>
      <c r="F38" s="24" t="n"/>
      <c r="G38" s="24" t="n"/>
      <c r="H38" s="40" t="n"/>
      <c r="I38" s="40" t="n"/>
      <c r="J38" s="25" t="n"/>
      <c r="K38" s="24">
        <f>IF($B38="","",IF($G38="완료","-",I38-TODAY()))</f>
        <v/>
      </c>
      <c r="L38" s="24">
        <f>IF($B38="","",I38-H38+1)</f>
        <v/>
      </c>
      <c r="M38" s="39" t="n"/>
    </row>
    <row r="39">
      <c r="B39" s="24" t="n"/>
      <c r="C39" s="39" t="n"/>
      <c r="D39" s="24" t="n"/>
      <c r="E39" s="24" t="n"/>
      <c r="F39" s="24" t="n"/>
      <c r="G39" s="24" t="n"/>
      <c r="H39" s="40" t="n"/>
      <c r="I39" s="40" t="n"/>
      <c r="J39" s="25" t="n"/>
      <c r="K39" s="24">
        <f>IF($B39="","",IF($G39="완료","-",I39-TODAY()))</f>
        <v/>
      </c>
      <c r="L39" s="24">
        <f>IF($B39="","",I39-H39+1)</f>
        <v/>
      </c>
      <c r="M39" s="39" t="n"/>
    </row>
    <row r="40">
      <c r="B40" s="24" t="n"/>
      <c r="C40" s="39" t="n"/>
      <c r="D40" s="24" t="n"/>
      <c r="E40" s="24" t="n"/>
      <c r="F40" s="24" t="n"/>
      <c r="G40" s="24" t="n"/>
      <c r="H40" s="40" t="n"/>
      <c r="I40" s="40" t="n"/>
      <c r="J40" s="25" t="n"/>
      <c r="K40" s="24">
        <f>IF($B40="","",IF($G40="완료","-",I40-TODAY()))</f>
        <v/>
      </c>
      <c r="L40" s="24">
        <f>IF($B40="","",I40-H40+1)</f>
        <v/>
      </c>
      <c r="M40" s="39" t="n"/>
    </row>
    <row r="41">
      <c r="B41" s="24" t="n"/>
      <c r="C41" s="39" t="n"/>
      <c r="D41" s="24" t="n"/>
      <c r="E41" s="24" t="n"/>
      <c r="F41" s="24" t="n"/>
      <c r="G41" s="24" t="n"/>
      <c r="H41" s="40" t="n"/>
      <c r="I41" s="40" t="n"/>
      <c r="J41" s="25" t="n"/>
      <c r="K41" s="24">
        <f>IF($B41="","",IF($G41="완료","-",I41-TODAY()))</f>
        <v/>
      </c>
      <c r="L41" s="24">
        <f>IF($B41="","",I41-H41+1)</f>
        <v/>
      </c>
      <c r="M41" s="39" t="n"/>
    </row>
    <row r="42">
      <c r="B42" s="24" t="n"/>
      <c r="C42" s="39" t="n"/>
      <c r="D42" s="24" t="n"/>
      <c r="E42" s="24" t="n"/>
      <c r="F42" s="24" t="n"/>
      <c r="G42" s="24" t="n"/>
      <c r="H42" s="40" t="n"/>
      <c r="I42" s="40" t="n"/>
      <c r="J42" s="25" t="n"/>
      <c r="K42" s="24">
        <f>IF($B42="","",IF($G42="완료","-",I42-TODAY()))</f>
        <v/>
      </c>
      <c r="L42" s="24">
        <f>IF($B42="","",I42-H42+1)</f>
        <v/>
      </c>
      <c r="M42" s="39" t="n"/>
    </row>
    <row r="43">
      <c r="B43" s="24" t="n"/>
      <c r="C43" s="39" t="n"/>
      <c r="D43" s="24" t="n"/>
      <c r="E43" s="24" t="n"/>
      <c r="F43" s="24" t="n"/>
      <c r="G43" s="24" t="n"/>
      <c r="H43" s="40" t="n"/>
      <c r="I43" s="40" t="n"/>
      <c r="J43" s="25" t="n"/>
      <c r="K43" s="24">
        <f>IF($B43="","",IF($G43="완료","-",I43-TODAY()))</f>
        <v/>
      </c>
      <c r="L43" s="24">
        <f>IF($B43="","",I43-H43+1)</f>
        <v/>
      </c>
      <c r="M43" s="39" t="n"/>
    </row>
    <row r="44">
      <c r="B44" s="24" t="n"/>
      <c r="C44" s="39" t="n"/>
      <c r="D44" s="24" t="n"/>
      <c r="E44" s="24" t="n"/>
      <c r="F44" s="24" t="n"/>
      <c r="G44" s="24" t="n"/>
      <c r="H44" s="40" t="n"/>
      <c r="I44" s="40" t="n"/>
      <c r="J44" s="25" t="n"/>
      <c r="K44" s="24">
        <f>IF($B44="","",IF($G44="완료","-",I44-TODAY()))</f>
        <v/>
      </c>
      <c r="L44" s="24">
        <f>IF($B44="","",I44-H44+1)</f>
        <v/>
      </c>
      <c r="M44" s="39" t="n"/>
    </row>
    <row r="45">
      <c r="B45" s="24" t="n"/>
      <c r="C45" s="39" t="n"/>
      <c r="D45" s="24" t="n"/>
      <c r="E45" s="24" t="n"/>
      <c r="F45" s="24" t="n"/>
      <c r="G45" s="24" t="n"/>
      <c r="H45" s="40" t="n"/>
      <c r="I45" s="40" t="n"/>
      <c r="J45" s="25" t="n"/>
      <c r="K45" s="24">
        <f>IF($B45="","",IF($G45="완료","-",I45-TODAY()))</f>
        <v/>
      </c>
      <c r="L45" s="24">
        <f>IF($B45="","",I45-H45+1)</f>
        <v/>
      </c>
      <c r="M45" s="39" t="n"/>
    </row>
    <row r="46">
      <c r="B46" s="24" t="n"/>
      <c r="C46" s="39" t="n"/>
      <c r="D46" s="24" t="n"/>
      <c r="E46" s="24" t="n"/>
      <c r="F46" s="24" t="n"/>
      <c r="G46" s="24" t="n"/>
      <c r="H46" s="40" t="n"/>
      <c r="I46" s="40" t="n"/>
      <c r="J46" s="25" t="n"/>
      <c r="K46" s="24">
        <f>IF($B46="","",IF($G46="완료","-",I46-TODAY()))</f>
        <v/>
      </c>
      <c r="L46" s="24">
        <f>IF($B46="","",I46-H46+1)</f>
        <v/>
      </c>
      <c r="M46" s="39" t="n"/>
    </row>
    <row r="47">
      <c r="B47" s="24" t="n"/>
      <c r="C47" s="39" t="n"/>
      <c r="D47" s="24" t="n"/>
      <c r="E47" s="24" t="n"/>
      <c r="F47" s="24" t="n"/>
      <c r="G47" s="24" t="n"/>
      <c r="H47" s="40" t="n"/>
      <c r="I47" s="40" t="n"/>
      <c r="J47" s="25" t="n"/>
      <c r="K47" s="24">
        <f>IF($B47="","",IF($G47="완료","-",I47-TODAY()))</f>
        <v/>
      </c>
      <c r="L47" s="24">
        <f>IF($B47="","",I47-H47+1)</f>
        <v/>
      </c>
      <c r="M47" s="39" t="n"/>
    </row>
    <row r="48">
      <c r="B48" s="24" t="n"/>
      <c r="C48" s="39" t="n"/>
      <c r="D48" s="24" t="n"/>
      <c r="E48" s="24" t="n"/>
      <c r="F48" s="24" t="n"/>
      <c r="G48" s="24" t="n"/>
      <c r="H48" s="40" t="n"/>
      <c r="I48" s="40" t="n"/>
      <c r="J48" s="25" t="n"/>
      <c r="K48" s="24">
        <f>IF($B48="","",IF($G48="완료","-",I48-TODAY()))</f>
        <v/>
      </c>
      <c r="L48" s="24">
        <f>IF($B48="","",I48-H48+1)</f>
        <v/>
      </c>
      <c r="M48" s="39" t="n"/>
    </row>
    <row r="49">
      <c r="B49" s="24" t="n"/>
      <c r="C49" s="39" t="n"/>
      <c r="D49" s="24" t="n"/>
      <c r="E49" s="24" t="n"/>
      <c r="F49" s="24" t="n"/>
      <c r="G49" s="24" t="n"/>
      <c r="H49" s="40" t="n"/>
      <c r="I49" s="40" t="n"/>
      <c r="J49" s="25" t="n"/>
      <c r="K49" s="24">
        <f>IF($B49="","",IF($G49="완료","-",I49-TODAY()))</f>
        <v/>
      </c>
      <c r="L49" s="24">
        <f>IF($B49="","",I49-H49+1)</f>
        <v/>
      </c>
      <c r="M49" s="39" t="n"/>
    </row>
    <row r="50">
      <c r="B50" s="24" t="n"/>
      <c r="C50" s="39" t="n"/>
      <c r="D50" s="24" t="n"/>
      <c r="E50" s="24" t="n"/>
      <c r="F50" s="24" t="n"/>
      <c r="G50" s="24" t="n"/>
      <c r="H50" s="40" t="n"/>
      <c r="I50" s="40" t="n"/>
      <c r="J50" s="25" t="n"/>
      <c r="K50" s="24">
        <f>IF($B50="","",IF($G50="완료","-",I50-TODAY()))</f>
        <v/>
      </c>
      <c r="L50" s="24">
        <f>IF($B50="","",I50-H50+1)</f>
        <v/>
      </c>
      <c r="M50" s="39" t="n"/>
    </row>
    <row r="51">
      <c r="B51" s="24" t="n"/>
      <c r="C51" s="39" t="n"/>
      <c r="D51" s="24" t="n"/>
      <c r="E51" s="24" t="n"/>
      <c r="F51" s="24" t="n"/>
      <c r="G51" s="24" t="n"/>
      <c r="H51" s="40" t="n"/>
      <c r="I51" s="40" t="n"/>
      <c r="J51" s="25" t="n"/>
      <c r="K51" s="24">
        <f>IF($B51="","",IF($G51="완료","-",I51-TODAY()))</f>
        <v/>
      </c>
      <c r="L51" s="24">
        <f>IF($B51="","",I51-H51+1)</f>
        <v/>
      </c>
      <c r="M51" s="39" t="n"/>
    </row>
    <row r="52">
      <c r="B52" s="24" t="n"/>
      <c r="C52" s="39" t="n"/>
      <c r="D52" s="24" t="n"/>
      <c r="E52" s="24" t="n"/>
      <c r="F52" s="24" t="n"/>
      <c r="G52" s="24" t="n"/>
      <c r="H52" s="40" t="n"/>
      <c r="I52" s="40" t="n"/>
      <c r="J52" s="25" t="n"/>
      <c r="K52" s="24">
        <f>IF($B52="","",IF($G52="완료","-",I52-TODAY()))</f>
        <v/>
      </c>
      <c r="L52" s="24">
        <f>IF($B52="","",I52-H52+1)</f>
        <v/>
      </c>
      <c r="M52" s="39" t="n"/>
    </row>
    <row r="53">
      <c r="B53" s="24" t="n"/>
      <c r="C53" s="39" t="n"/>
      <c r="D53" s="24" t="n"/>
      <c r="E53" s="24" t="n"/>
      <c r="F53" s="24" t="n"/>
      <c r="G53" s="24" t="n"/>
      <c r="H53" s="40" t="n"/>
      <c r="I53" s="40" t="n"/>
      <c r="J53" s="25" t="n"/>
      <c r="K53" s="24">
        <f>IF($B53="","",IF($G53="완료","-",I53-TODAY()))</f>
        <v/>
      </c>
      <c r="L53" s="24">
        <f>IF($B53="","",I53-H53+1)</f>
        <v/>
      </c>
      <c r="M53" s="39" t="n"/>
    </row>
    <row r="54">
      <c r="B54" s="24" t="n"/>
      <c r="C54" s="39" t="n"/>
      <c r="D54" s="24" t="n"/>
      <c r="E54" s="24" t="n"/>
      <c r="F54" s="24" t="n"/>
      <c r="G54" s="24" t="n"/>
      <c r="H54" s="40" t="n"/>
      <c r="I54" s="40" t="n"/>
      <c r="J54" s="25" t="n"/>
      <c r="K54" s="24">
        <f>IF($B54="","",IF($G54="완료","-",I54-TODAY()))</f>
        <v/>
      </c>
      <c r="L54" s="24">
        <f>IF($B54="","",I54-H54+1)</f>
        <v/>
      </c>
      <c r="M54" s="39" t="n"/>
    </row>
    <row r="55">
      <c r="B55" s="24" t="n"/>
      <c r="C55" s="39" t="n"/>
      <c r="D55" s="24" t="n"/>
      <c r="E55" s="24" t="n"/>
      <c r="F55" s="24" t="n"/>
      <c r="G55" s="24" t="n"/>
      <c r="H55" s="40" t="n"/>
      <c r="I55" s="40" t="n"/>
      <c r="J55" s="25" t="n"/>
      <c r="K55" s="24">
        <f>IF($B55="","",IF($G55="완료","-",I55-TODAY()))</f>
        <v/>
      </c>
      <c r="L55" s="24">
        <f>IF($B55="","",I55-H55+1)</f>
        <v/>
      </c>
      <c r="M55" s="39" t="n"/>
    </row>
    <row r="56">
      <c r="B56" s="24" t="n"/>
      <c r="C56" s="39" t="n"/>
      <c r="D56" s="24" t="n"/>
      <c r="E56" s="24" t="n"/>
      <c r="F56" s="24" t="n"/>
      <c r="G56" s="24" t="n"/>
      <c r="H56" s="40" t="n"/>
      <c r="I56" s="40" t="n"/>
      <c r="J56" s="25" t="n"/>
      <c r="K56" s="24">
        <f>IF($B56="","",IF($G56="완료","-",I56-TODAY()))</f>
        <v/>
      </c>
      <c r="L56" s="24">
        <f>IF($B56="","",I56-H56+1)</f>
        <v/>
      </c>
      <c r="M56" s="39" t="n"/>
    </row>
    <row r="57">
      <c r="B57" s="24" t="n"/>
      <c r="C57" s="39" t="n"/>
      <c r="D57" s="24" t="n"/>
      <c r="E57" s="24" t="n"/>
      <c r="F57" s="24" t="n"/>
      <c r="G57" s="24" t="n"/>
      <c r="H57" s="40" t="n"/>
      <c r="I57" s="40" t="n"/>
      <c r="J57" s="25" t="n"/>
      <c r="K57" s="24">
        <f>IF($B57="","",IF($G57="완료","-",I57-TODAY()))</f>
        <v/>
      </c>
      <c r="L57" s="24">
        <f>IF($B57="","",I57-H57+1)</f>
        <v/>
      </c>
      <c r="M57" s="39" t="n"/>
    </row>
    <row r="58">
      <c r="B58" s="24" t="n"/>
      <c r="C58" s="39" t="n"/>
      <c r="D58" s="24" t="n"/>
      <c r="E58" s="24" t="n"/>
      <c r="F58" s="24" t="n"/>
      <c r="G58" s="24" t="n"/>
      <c r="H58" s="40" t="n"/>
      <c r="I58" s="40" t="n"/>
      <c r="J58" s="25" t="n"/>
      <c r="K58" s="24">
        <f>IF($B58="","",IF($G58="완료","-",I58-TODAY()))</f>
        <v/>
      </c>
      <c r="L58" s="24">
        <f>IF($B58="","",I58-H58+1)</f>
        <v/>
      </c>
      <c r="M58" s="39" t="n"/>
    </row>
    <row r="59">
      <c r="B59" s="24" t="n"/>
      <c r="C59" s="39" t="n"/>
      <c r="D59" s="24" t="n"/>
      <c r="E59" s="24" t="n"/>
      <c r="F59" s="24" t="n"/>
      <c r="G59" s="24" t="n"/>
      <c r="H59" s="40" t="n"/>
      <c r="I59" s="40" t="n"/>
      <c r="J59" s="25" t="n"/>
      <c r="K59" s="24">
        <f>IF($B59="","",IF($G59="완료","-",I59-TODAY()))</f>
        <v/>
      </c>
      <c r="L59" s="24">
        <f>IF($B59="","",I59-H59+1)</f>
        <v/>
      </c>
      <c r="M59" s="39" t="n"/>
    </row>
    <row r="60">
      <c r="B60" s="24" t="n"/>
      <c r="C60" s="39" t="n"/>
      <c r="D60" s="24" t="n"/>
      <c r="E60" s="24" t="n"/>
      <c r="F60" s="24" t="n"/>
      <c r="G60" s="24" t="n"/>
      <c r="H60" s="40" t="n"/>
      <c r="I60" s="40" t="n"/>
      <c r="J60" s="25" t="n"/>
      <c r="K60" s="24">
        <f>IF($B60="","",IF($G60="완료","-",I60-TODAY()))</f>
        <v/>
      </c>
      <c r="L60" s="24">
        <f>IF($B60="","",I60-H60+1)</f>
        <v/>
      </c>
      <c r="M60" s="39" t="n"/>
    </row>
    <row r="61">
      <c r="B61" s="24" t="n"/>
      <c r="C61" s="39" t="n"/>
      <c r="D61" s="24" t="n"/>
      <c r="E61" s="24" t="n"/>
      <c r="F61" s="24" t="n"/>
      <c r="G61" s="24" t="n"/>
      <c r="H61" s="40" t="n"/>
      <c r="I61" s="40" t="n"/>
      <c r="J61" s="25" t="n"/>
      <c r="K61" s="24">
        <f>IF($B61="","",IF($G61="완료","-",I61-TODAY()))</f>
        <v/>
      </c>
      <c r="L61" s="24">
        <f>IF($B61="","",I61-H61+1)</f>
        <v/>
      </c>
      <c r="M61" s="39" t="n"/>
    </row>
    <row r="62">
      <c r="B62" s="24" t="n"/>
      <c r="C62" s="39" t="n"/>
      <c r="D62" s="24" t="n"/>
      <c r="E62" s="24" t="n"/>
      <c r="F62" s="24" t="n"/>
      <c r="G62" s="24" t="n"/>
      <c r="H62" s="40" t="n"/>
      <c r="I62" s="40" t="n"/>
      <c r="J62" s="25" t="n"/>
      <c r="K62" s="24">
        <f>IF($B62="","",IF($G62="완료","-",I62-TODAY()))</f>
        <v/>
      </c>
      <c r="L62" s="24">
        <f>IF($B62="","",I62-H62+1)</f>
        <v/>
      </c>
      <c r="M62" s="39" t="n"/>
    </row>
    <row r="63">
      <c r="B63" s="24" t="n"/>
      <c r="C63" s="39" t="n"/>
      <c r="D63" s="24" t="n"/>
      <c r="E63" s="24" t="n"/>
      <c r="F63" s="24" t="n"/>
      <c r="G63" s="24" t="n"/>
      <c r="H63" s="40" t="n"/>
      <c r="I63" s="40" t="n"/>
      <c r="J63" s="25" t="n"/>
      <c r="K63" s="24">
        <f>IF($B63="","",IF($G63="완료","-",I63-TODAY()))</f>
        <v/>
      </c>
      <c r="L63" s="24">
        <f>IF($B63="","",I63-H63+1)</f>
        <v/>
      </c>
      <c r="M63" s="39" t="n"/>
    </row>
    <row r="64">
      <c r="B64" s="24" t="n"/>
      <c r="C64" s="39" t="n"/>
      <c r="D64" s="24" t="n"/>
      <c r="E64" s="24" t="n"/>
      <c r="F64" s="24" t="n"/>
      <c r="G64" s="24" t="n"/>
      <c r="H64" s="40" t="n"/>
      <c r="I64" s="40" t="n"/>
      <c r="J64" s="25" t="n"/>
      <c r="K64" s="24">
        <f>IF($B64="","",IF($G64="완료","-",I64-TODAY()))</f>
        <v/>
      </c>
      <c r="L64" s="24">
        <f>IF($B64="","",I64-H64+1)</f>
        <v/>
      </c>
      <c r="M64" s="39" t="n"/>
    </row>
    <row r="65">
      <c r="B65" s="24" t="n"/>
      <c r="C65" s="39" t="n"/>
      <c r="D65" s="24" t="n"/>
      <c r="E65" s="24" t="n"/>
      <c r="F65" s="24" t="n"/>
      <c r="G65" s="24" t="n"/>
      <c r="H65" s="40" t="n"/>
      <c r="I65" s="40" t="n"/>
      <c r="J65" s="25" t="n"/>
      <c r="K65" s="24">
        <f>IF($B65="","",IF($G65="완료","-",I65-TODAY()))</f>
        <v/>
      </c>
      <c r="L65" s="24">
        <f>IF($B65="","",I65-H65+1)</f>
        <v/>
      </c>
      <c r="M65" s="39" t="n"/>
    </row>
    <row r="66">
      <c r="B66" s="24" t="n"/>
      <c r="C66" s="39" t="n"/>
      <c r="D66" s="24" t="n"/>
      <c r="E66" s="24" t="n"/>
      <c r="F66" s="24" t="n"/>
      <c r="G66" s="24" t="n"/>
      <c r="H66" s="40" t="n"/>
      <c r="I66" s="40" t="n"/>
      <c r="J66" s="25" t="n"/>
      <c r="K66" s="24">
        <f>IF($B66="","",IF($G66="완료","-",I66-TODAY()))</f>
        <v/>
      </c>
      <c r="L66" s="24">
        <f>IF($B66="","",I66-H66+1)</f>
        <v/>
      </c>
      <c r="M66" s="39" t="n"/>
    </row>
    <row r="67">
      <c r="B67" s="24" t="n"/>
      <c r="C67" s="39" t="n"/>
      <c r="D67" s="24" t="n"/>
      <c r="E67" s="24" t="n"/>
      <c r="F67" s="24" t="n"/>
      <c r="G67" s="24" t="n"/>
      <c r="H67" s="40" t="n"/>
      <c r="I67" s="40" t="n"/>
      <c r="J67" s="25" t="n"/>
      <c r="K67" s="24">
        <f>IF($B67="","",IF($G67="완료","-",I67-TODAY()))</f>
        <v/>
      </c>
      <c r="L67" s="24">
        <f>IF($B67="","",I67-H67+1)</f>
        <v/>
      </c>
      <c r="M67" s="39" t="n"/>
    </row>
    <row r="68">
      <c r="B68" s="24" t="n"/>
      <c r="C68" s="39" t="n"/>
      <c r="D68" s="24" t="n"/>
      <c r="E68" s="24" t="n"/>
      <c r="F68" s="24" t="n"/>
      <c r="G68" s="24" t="n"/>
      <c r="H68" s="40" t="n"/>
      <c r="I68" s="40" t="n"/>
      <c r="J68" s="25" t="n"/>
      <c r="K68" s="24">
        <f>IF($B68="","",IF($G68="완료","-",I68-TODAY()))</f>
        <v/>
      </c>
      <c r="L68" s="24">
        <f>IF($B68="","",I68-H68+1)</f>
        <v/>
      </c>
      <c r="M68" s="39" t="n"/>
    </row>
    <row r="69">
      <c r="B69" s="24" t="n"/>
      <c r="C69" s="39" t="n"/>
      <c r="D69" s="24" t="n"/>
      <c r="E69" s="24" t="n"/>
      <c r="F69" s="24" t="n"/>
      <c r="G69" s="24" t="n"/>
      <c r="H69" s="40" t="n"/>
      <c r="I69" s="40" t="n"/>
      <c r="J69" s="25" t="n"/>
      <c r="K69" s="24">
        <f>IF($B69="","",IF($G69="완료","-",I69-TODAY()))</f>
        <v/>
      </c>
      <c r="L69" s="24">
        <f>IF($B69="","",I69-H69+1)</f>
        <v/>
      </c>
      <c r="M69" s="39" t="n"/>
    </row>
    <row r="70">
      <c r="B70" s="24" t="n"/>
      <c r="C70" s="39" t="n"/>
      <c r="D70" s="24" t="n"/>
      <c r="E70" s="24" t="n"/>
      <c r="F70" s="24" t="n"/>
      <c r="G70" s="24" t="n"/>
      <c r="H70" s="40" t="n"/>
      <c r="I70" s="40" t="n"/>
      <c r="J70" s="25" t="n"/>
      <c r="K70" s="24">
        <f>IF($B70="","",IF($G70="완료","-",I70-TODAY()))</f>
        <v/>
      </c>
      <c r="L70" s="24">
        <f>IF($B70="","",I70-H70+1)</f>
        <v/>
      </c>
      <c r="M70" s="39" t="n"/>
    </row>
    <row r="71">
      <c r="B71" s="24" t="n"/>
      <c r="C71" s="39" t="n"/>
      <c r="D71" s="24" t="n"/>
      <c r="E71" s="24" t="n"/>
      <c r="F71" s="24" t="n"/>
      <c r="G71" s="24" t="n"/>
      <c r="H71" s="40" t="n"/>
      <c r="I71" s="40" t="n"/>
      <c r="J71" s="25" t="n"/>
      <c r="K71" s="24">
        <f>IF($B71="","",IF($G71="완료","-",I71-TODAY()))</f>
        <v/>
      </c>
      <c r="L71" s="24">
        <f>IF($B71="","",I71-H71+1)</f>
        <v/>
      </c>
      <c r="M71" s="39" t="n"/>
    </row>
    <row r="72">
      <c r="B72" s="24" t="n"/>
      <c r="C72" s="39" t="n"/>
      <c r="D72" s="24" t="n"/>
      <c r="E72" s="24" t="n"/>
      <c r="F72" s="24" t="n"/>
      <c r="G72" s="24" t="n"/>
      <c r="H72" s="40" t="n"/>
      <c r="I72" s="40" t="n"/>
      <c r="J72" s="25" t="n"/>
      <c r="K72" s="24">
        <f>IF($B72="","",IF($G72="완료","-",I72-TODAY()))</f>
        <v/>
      </c>
      <c r="L72" s="24">
        <f>IF($B72="","",I72-H72+1)</f>
        <v/>
      </c>
      <c r="M72" s="39" t="n"/>
    </row>
    <row r="73">
      <c r="B73" s="24" t="n"/>
      <c r="C73" s="39" t="n"/>
      <c r="D73" s="24" t="n"/>
      <c r="E73" s="24" t="n"/>
      <c r="F73" s="24" t="n"/>
      <c r="G73" s="24" t="n"/>
      <c r="H73" s="40" t="n"/>
      <c r="I73" s="40" t="n"/>
      <c r="J73" s="25" t="n"/>
      <c r="K73" s="24">
        <f>IF($B73="","",IF($G73="완료","-",I73-TODAY()))</f>
        <v/>
      </c>
      <c r="L73" s="24">
        <f>IF($B73="","",I73-H73+1)</f>
        <v/>
      </c>
      <c r="M73" s="39" t="n"/>
    </row>
    <row r="74">
      <c r="B74" s="24" t="n"/>
      <c r="C74" s="39" t="n"/>
      <c r="D74" s="24" t="n"/>
      <c r="E74" s="24" t="n"/>
      <c r="F74" s="24" t="n"/>
      <c r="G74" s="24" t="n"/>
      <c r="H74" s="40" t="n"/>
      <c r="I74" s="40" t="n"/>
      <c r="J74" s="25" t="n"/>
      <c r="K74" s="24">
        <f>IF($B74="","",IF($G74="완료","-",I74-TODAY()))</f>
        <v/>
      </c>
      <c r="L74" s="24">
        <f>IF($B74="","",I74-H74+1)</f>
        <v/>
      </c>
      <c r="M74" s="39" t="n"/>
    </row>
    <row r="75">
      <c r="B75" s="24" t="n"/>
      <c r="C75" s="39" t="n"/>
      <c r="D75" s="24" t="n"/>
      <c r="E75" s="24" t="n"/>
      <c r="F75" s="24" t="n"/>
      <c r="G75" s="24" t="n"/>
      <c r="H75" s="40" t="n"/>
      <c r="I75" s="40" t="n"/>
      <c r="J75" s="25" t="n"/>
      <c r="K75" s="24">
        <f>IF($B75="","",IF($G75="완료","-",I75-TODAY()))</f>
        <v/>
      </c>
      <c r="L75" s="24">
        <f>IF($B75="","",I75-H75+1)</f>
        <v/>
      </c>
      <c r="M75" s="39" t="n"/>
    </row>
    <row r="76">
      <c r="B76" s="24" t="n"/>
      <c r="C76" s="39" t="n"/>
      <c r="D76" s="24" t="n"/>
      <c r="E76" s="24" t="n"/>
      <c r="F76" s="24" t="n"/>
      <c r="G76" s="24" t="n"/>
      <c r="H76" s="40" t="n"/>
      <c r="I76" s="40" t="n"/>
      <c r="J76" s="25" t="n"/>
      <c r="K76" s="24">
        <f>IF($B76="","",IF($G76="완료","-",I76-TODAY()))</f>
        <v/>
      </c>
      <c r="L76" s="24">
        <f>IF($B76="","",I76-H76+1)</f>
        <v/>
      </c>
      <c r="M76" s="39" t="n"/>
    </row>
    <row r="77">
      <c r="B77" s="24" t="n"/>
      <c r="C77" s="39" t="n"/>
      <c r="D77" s="24" t="n"/>
      <c r="E77" s="24" t="n"/>
      <c r="F77" s="24" t="n"/>
      <c r="G77" s="24" t="n"/>
      <c r="H77" s="40" t="n"/>
      <c r="I77" s="40" t="n"/>
      <c r="J77" s="25" t="n"/>
      <c r="K77" s="24">
        <f>IF($B77="","",IF($G77="완료","-",I77-TODAY()))</f>
        <v/>
      </c>
      <c r="L77" s="24">
        <f>IF($B77="","",I77-H77+1)</f>
        <v/>
      </c>
      <c r="M77" s="39" t="n"/>
    </row>
    <row r="78">
      <c r="B78" s="24" t="n"/>
      <c r="C78" s="39" t="n"/>
      <c r="D78" s="24" t="n"/>
      <c r="E78" s="24" t="n"/>
      <c r="F78" s="24" t="n"/>
      <c r="G78" s="24" t="n"/>
      <c r="H78" s="40" t="n"/>
      <c r="I78" s="40" t="n"/>
      <c r="J78" s="25" t="n"/>
      <c r="K78" s="24">
        <f>IF($B78="","",IF($G78="완료","-",I78-TODAY()))</f>
        <v/>
      </c>
      <c r="L78" s="24">
        <f>IF($B78="","",I78-H78+1)</f>
        <v/>
      </c>
      <c r="M78" s="39" t="n"/>
    </row>
    <row r="79">
      <c r="B79" s="24" t="n"/>
      <c r="C79" s="39" t="n"/>
      <c r="D79" s="24" t="n"/>
      <c r="E79" s="24" t="n"/>
      <c r="F79" s="24" t="n"/>
      <c r="G79" s="24" t="n"/>
      <c r="H79" s="40" t="n"/>
      <c r="I79" s="40" t="n"/>
      <c r="J79" s="25" t="n"/>
      <c r="K79" s="24">
        <f>IF($B79="","",IF($G79="완료","-",I79-TODAY()))</f>
        <v/>
      </c>
      <c r="L79" s="24">
        <f>IF($B79="","",I79-H79+1)</f>
        <v/>
      </c>
      <c r="M79" s="39" t="n"/>
    </row>
    <row r="80">
      <c r="B80" s="24" t="n"/>
      <c r="C80" s="39" t="n"/>
      <c r="D80" s="24" t="n"/>
      <c r="E80" s="24" t="n"/>
      <c r="F80" s="24" t="n"/>
      <c r="G80" s="24" t="n"/>
      <c r="H80" s="40" t="n"/>
      <c r="I80" s="40" t="n"/>
      <c r="J80" s="25" t="n"/>
      <c r="K80" s="24">
        <f>IF($B80="","",IF($G80="완료","-",I80-TODAY()))</f>
        <v/>
      </c>
      <c r="L80" s="24">
        <f>IF($B80="","",I80-H80+1)</f>
        <v/>
      </c>
      <c r="M80" s="39" t="n"/>
    </row>
    <row r="81">
      <c r="B81" s="24" t="n"/>
      <c r="C81" s="39" t="n"/>
      <c r="D81" s="24" t="n"/>
      <c r="E81" s="24" t="n"/>
      <c r="F81" s="24" t="n"/>
      <c r="G81" s="24" t="n"/>
      <c r="H81" s="40" t="n"/>
      <c r="I81" s="40" t="n"/>
      <c r="J81" s="25" t="n"/>
      <c r="K81" s="24">
        <f>IF($B81="","",IF($G81="완료","-",I81-TODAY()))</f>
        <v/>
      </c>
      <c r="L81" s="24">
        <f>IF($B81="","",I81-H81+1)</f>
        <v/>
      </c>
      <c r="M81" s="39" t="n"/>
    </row>
    <row r="82">
      <c r="B82" s="24" t="n"/>
      <c r="C82" s="39" t="n"/>
      <c r="D82" s="24" t="n"/>
      <c r="E82" s="24" t="n"/>
      <c r="F82" s="24" t="n"/>
      <c r="G82" s="24" t="n"/>
      <c r="H82" s="40" t="n"/>
      <c r="I82" s="40" t="n"/>
      <c r="J82" s="25" t="n"/>
      <c r="K82" s="24">
        <f>IF($B82="","",IF($G82="완료","-",I82-TODAY()))</f>
        <v/>
      </c>
      <c r="L82" s="24">
        <f>IF($B82="","",I82-H82+1)</f>
        <v/>
      </c>
      <c r="M82" s="39" t="n"/>
    </row>
    <row r="83">
      <c r="B83" s="24" t="n"/>
      <c r="C83" s="39" t="n"/>
      <c r="D83" s="24" t="n"/>
      <c r="E83" s="24" t="n"/>
      <c r="F83" s="24" t="n"/>
      <c r="G83" s="24" t="n"/>
      <c r="H83" s="40" t="n"/>
      <c r="I83" s="40" t="n"/>
      <c r="J83" s="25" t="n"/>
      <c r="K83" s="24">
        <f>IF($B83="","",IF($G83="완료","-",I83-TODAY()))</f>
        <v/>
      </c>
      <c r="L83" s="24">
        <f>IF($B83="","",I83-H83+1)</f>
        <v/>
      </c>
      <c r="M83" s="39" t="n"/>
    </row>
    <row r="84">
      <c r="B84" s="24" t="n"/>
      <c r="C84" s="39" t="n"/>
      <c r="D84" s="24" t="n"/>
      <c r="E84" s="24" t="n"/>
      <c r="F84" s="24" t="n"/>
      <c r="G84" s="24" t="n"/>
      <c r="H84" s="40" t="n"/>
      <c r="I84" s="40" t="n"/>
      <c r="J84" s="25" t="n"/>
      <c r="K84" s="24">
        <f>IF($B84="","",IF($G84="완료","-",I84-TODAY()))</f>
        <v/>
      </c>
      <c r="L84" s="24">
        <f>IF($B84="","",I84-H84+1)</f>
        <v/>
      </c>
      <c r="M84" s="39" t="n"/>
    </row>
    <row r="85">
      <c r="B85" s="24" t="n"/>
      <c r="C85" s="39" t="n"/>
      <c r="D85" s="24" t="n"/>
      <c r="E85" s="24" t="n"/>
      <c r="F85" s="24" t="n"/>
      <c r="G85" s="24" t="n"/>
      <c r="H85" s="40" t="n"/>
      <c r="I85" s="40" t="n"/>
      <c r="J85" s="25" t="n"/>
      <c r="K85" s="24">
        <f>IF($B85="","",IF($G85="완료","-",I85-TODAY()))</f>
        <v/>
      </c>
      <c r="L85" s="24">
        <f>IF($B85="","",I85-H85+1)</f>
        <v/>
      </c>
      <c r="M85" s="39" t="n"/>
    </row>
    <row r="86">
      <c r="B86" s="24" t="n"/>
      <c r="C86" s="39" t="n"/>
      <c r="D86" s="24" t="n"/>
      <c r="E86" s="24" t="n"/>
      <c r="F86" s="24" t="n"/>
      <c r="G86" s="24" t="n"/>
      <c r="H86" s="40" t="n"/>
      <c r="I86" s="40" t="n"/>
      <c r="J86" s="25" t="n"/>
      <c r="K86" s="24">
        <f>IF($B86="","",IF($G86="완료","-",I86-TODAY()))</f>
        <v/>
      </c>
      <c r="L86" s="24">
        <f>IF($B86="","",I86-H86+1)</f>
        <v/>
      </c>
      <c r="M86" s="39" t="n"/>
    </row>
    <row r="87">
      <c r="B87" s="24" t="n"/>
      <c r="C87" s="39" t="n"/>
      <c r="D87" s="24" t="n"/>
      <c r="E87" s="24" t="n"/>
      <c r="F87" s="24" t="n"/>
      <c r="G87" s="24" t="n"/>
      <c r="H87" s="40" t="n"/>
      <c r="I87" s="40" t="n"/>
      <c r="J87" s="25" t="n"/>
      <c r="K87" s="24">
        <f>IF($B87="","",IF($G87="완료","-",I87-TODAY()))</f>
        <v/>
      </c>
      <c r="L87" s="24">
        <f>IF($B87="","",I87-H87+1)</f>
        <v/>
      </c>
      <c r="M87" s="39" t="n"/>
    </row>
    <row r="88">
      <c r="B88" s="24" t="n"/>
      <c r="C88" s="39" t="n"/>
      <c r="D88" s="24" t="n"/>
      <c r="E88" s="24" t="n"/>
      <c r="F88" s="24" t="n"/>
      <c r="G88" s="24" t="n"/>
      <c r="H88" s="40" t="n"/>
      <c r="I88" s="40" t="n"/>
      <c r="J88" s="25" t="n"/>
      <c r="K88" s="24">
        <f>IF($B88="","",IF($G88="완료","-",I88-TODAY()))</f>
        <v/>
      </c>
      <c r="L88" s="24">
        <f>IF($B88="","",I88-H88+1)</f>
        <v/>
      </c>
      <c r="M88" s="39" t="n"/>
    </row>
    <row r="89">
      <c r="B89" s="24" t="n"/>
      <c r="C89" s="39" t="n"/>
      <c r="D89" s="24" t="n"/>
      <c r="E89" s="24" t="n"/>
      <c r="F89" s="24" t="n"/>
      <c r="G89" s="24" t="n"/>
      <c r="H89" s="40" t="n"/>
      <c r="I89" s="40" t="n"/>
      <c r="J89" s="25" t="n"/>
      <c r="K89" s="24">
        <f>IF($B89="","",IF($G89="완료","-",I89-TODAY()))</f>
        <v/>
      </c>
      <c r="L89" s="24">
        <f>IF($B89="","",I89-H89+1)</f>
        <v/>
      </c>
      <c r="M89" s="39" t="n"/>
    </row>
    <row r="90">
      <c r="B90" s="24" t="n"/>
      <c r="C90" s="39" t="n"/>
      <c r="D90" s="24" t="n"/>
      <c r="E90" s="24" t="n"/>
      <c r="F90" s="24" t="n"/>
      <c r="G90" s="24" t="n"/>
      <c r="H90" s="40" t="n"/>
      <c r="I90" s="40" t="n"/>
      <c r="J90" s="25" t="n"/>
      <c r="K90" s="24">
        <f>IF($B90="","",IF($G90="완료","-",I90-TODAY()))</f>
        <v/>
      </c>
      <c r="L90" s="24">
        <f>IF($B90="","",I90-H90+1)</f>
        <v/>
      </c>
      <c r="M90" s="39" t="n"/>
    </row>
    <row r="91">
      <c r="B91" s="24" t="n"/>
      <c r="C91" s="39" t="n"/>
      <c r="D91" s="24" t="n"/>
      <c r="E91" s="24" t="n"/>
      <c r="F91" s="24" t="n"/>
      <c r="G91" s="24" t="n"/>
      <c r="H91" s="40" t="n"/>
      <c r="I91" s="40" t="n"/>
      <c r="J91" s="25" t="n"/>
      <c r="K91" s="24">
        <f>IF($B91="","",IF($G91="완료","-",I91-TODAY()))</f>
        <v/>
      </c>
      <c r="L91" s="24">
        <f>IF($B91="","",I91-H91+1)</f>
        <v/>
      </c>
      <c r="M91" s="39" t="n"/>
    </row>
    <row r="92">
      <c r="B92" s="24" t="n"/>
      <c r="C92" s="39" t="n"/>
      <c r="D92" s="24" t="n"/>
      <c r="E92" s="24" t="n"/>
      <c r="F92" s="24" t="n"/>
      <c r="G92" s="24" t="n"/>
      <c r="H92" s="40" t="n"/>
      <c r="I92" s="40" t="n"/>
      <c r="J92" s="25" t="n"/>
      <c r="K92" s="24">
        <f>IF($B92="","",IF($G92="완료","-",I92-TODAY()))</f>
        <v/>
      </c>
      <c r="L92" s="24">
        <f>IF($B92="","",I92-H92+1)</f>
        <v/>
      </c>
      <c r="M92" s="39" t="n"/>
    </row>
    <row r="93">
      <c r="B93" s="24" t="n"/>
      <c r="C93" s="39" t="n"/>
      <c r="D93" s="24" t="n"/>
      <c r="E93" s="24" t="n"/>
      <c r="F93" s="24" t="n"/>
      <c r="G93" s="24" t="n"/>
      <c r="H93" s="40" t="n"/>
      <c r="I93" s="40" t="n"/>
      <c r="J93" s="25" t="n"/>
      <c r="K93" s="24">
        <f>IF($B93="","",IF($G93="완료","-",I93-TODAY()))</f>
        <v/>
      </c>
      <c r="L93" s="24">
        <f>IF($B93="","",I93-H93+1)</f>
        <v/>
      </c>
      <c r="M93" s="39" t="n"/>
    </row>
    <row r="94">
      <c r="B94" s="24" t="n"/>
      <c r="C94" s="39" t="n"/>
      <c r="D94" s="24" t="n"/>
      <c r="E94" s="24" t="n"/>
      <c r="F94" s="24" t="n"/>
      <c r="G94" s="24" t="n"/>
      <c r="H94" s="40" t="n"/>
      <c r="I94" s="40" t="n"/>
      <c r="J94" s="25" t="n"/>
      <c r="K94" s="24">
        <f>IF($B94="","",IF($G94="완료","-",I94-TODAY()))</f>
        <v/>
      </c>
      <c r="L94" s="24">
        <f>IF($B94="","",I94-H94+1)</f>
        <v/>
      </c>
      <c r="M94" s="39" t="n"/>
    </row>
    <row r="95">
      <c r="B95" s="24" t="n"/>
      <c r="C95" s="39" t="n"/>
      <c r="D95" s="24" t="n"/>
      <c r="E95" s="24" t="n"/>
      <c r="F95" s="24" t="n"/>
      <c r="G95" s="24" t="n"/>
      <c r="H95" s="40" t="n"/>
      <c r="I95" s="40" t="n"/>
      <c r="J95" s="25" t="n"/>
      <c r="K95" s="24">
        <f>IF($B95="","",IF($G95="완료","-",I95-TODAY()))</f>
        <v/>
      </c>
      <c r="L95" s="24">
        <f>IF($B95="","",I95-H95+1)</f>
        <v/>
      </c>
      <c r="M95" s="39" t="n"/>
    </row>
    <row r="96">
      <c r="B96" s="24" t="n"/>
      <c r="C96" s="39" t="n"/>
      <c r="D96" s="24" t="n"/>
      <c r="E96" s="24" t="n"/>
      <c r="F96" s="24" t="n"/>
      <c r="G96" s="24" t="n"/>
      <c r="H96" s="40" t="n"/>
      <c r="I96" s="40" t="n"/>
      <c r="J96" s="25" t="n"/>
      <c r="K96" s="24">
        <f>IF($B96="","",IF($G96="완료","-",I96-TODAY()))</f>
        <v/>
      </c>
      <c r="L96" s="24">
        <f>IF($B96="","",I96-H96+1)</f>
        <v/>
      </c>
      <c r="M96" s="39" t="n"/>
    </row>
    <row r="97">
      <c r="B97" s="24" t="n"/>
      <c r="C97" s="39" t="n"/>
      <c r="D97" s="24" t="n"/>
      <c r="E97" s="24" t="n"/>
      <c r="F97" s="24" t="n"/>
      <c r="G97" s="24" t="n"/>
      <c r="H97" s="40" t="n"/>
      <c r="I97" s="40" t="n"/>
      <c r="J97" s="25" t="n"/>
      <c r="K97" s="24">
        <f>IF($B97="","",IF($G97="완료","-",I97-TODAY()))</f>
        <v/>
      </c>
      <c r="L97" s="24">
        <f>IF($B97="","",I97-H97+1)</f>
        <v/>
      </c>
      <c r="M97" s="39" t="n"/>
    </row>
    <row r="98">
      <c r="B98" s="24" t="n"/>
      <c r="C98" s="39" t="n"/>
      <c r="D98" s="24" t="n"/>
      <c r="E98" s="24" t="n"/>
      <c r="F98" s="24" t="n"/>
      <c r="G98" s="24" t="n"/>
      <c r="H98" s="40" t="n"/>
      <c r="I98" s="40" t="n"/>
      <c r="J98" s="25" t="n"/>
      <c r="K98" s="24">
        <f>IF($B98="","",IF($G98="완료","-",I98-TODAY()))</f>
        <v/>
      </c>
      <c r="L98" s="24">
        <f>IF($B98="","",I98-H98+1)</f>
        <v/>
      </c>
      <c r="M98" s="39" t="n"/>
    </row>
    <row r="99">
      <c r="B99" s="24" t="n"/>
      <c r="C99" s="39" t="n"/>
      <c r="D99" s="24" t="n"/>
      <c r="E99" s="24" t="n"/>
      <c r="F99" s="24" t="n"/>
      <c r="G99" s="24" t="n"/>
      <c r="H99" s="40" t="n"/>
      <c r="I99" s="40" t="n"/>
      <c r="J99" s="25" t="n"/>
      <c r="K99" s="24">
        <f>IF($B99="","",IF($G99="완료","-",I99-TODAY()))</f>
        <v/>
      </c>
      <c r="L99" s="24">
        <f>IF($B99="","",I99-H99+1)</f>
        <v/>
      </c>
      <c r="M99" s="39" t="n"/>
    </row>
    <row r="100">
      <c r="B100" s="24" t="n"/>
      <c r="C100" s="39" t="n"/>
      <c r="D100" s="24" t="n"/>
      <c r="E100" s="24" t="n"/>
      <c r="F100" s="24" t="n"/>
      <c r="G100" s="24" t="n"/>
      <c r="H100" s="40" t="n"/>
      <c r="I100" s="40" t="n"/>
      <c r="J100" s="25" t="n"/>
      <c r="K100" s="24">
        <f>IF($B100="","",IF($G100="완료","-",I100-TODAY()))</f>
        <v/>
      </c>
      <c r="L100" s="24">
        <f>IF($B100="","",I100-H100+1)</f>
        <v/>
      </c>
      <c r="M100" s="39" t="n"/>
    </row>
    <row r="101">
      <c r="B101" s="24" t="n"/>
      <c r="C101" s="39" t="n"/>
      <c r="D101" s="24" t="n"/>
      <c r="E101" s="24" t="n"/>
      <c r="F101" s="24" t="n"/>
      <c r="G101" s="24" t="n"/>
      <c r="H101" s="40" t="n"/>
      <c r="I101" s="40" t="n"/>
      <c r="J101" s="25" t="n"/>
      <c r="K101" s="24">
        <f>IF($B101="","",IF($G101="완료","-",I101-TODAY()))</f>
        <v/>
      </c>
      <c r="L101" s="24">
        <f>IF($B101="","",I101-H101+1)</f>
        <v/>
      </c>
      <c r="M101" s="39" t="n"/>
    </row>
    <row r="102">
      <c r="B102" s="24" t="n"/>
      <c r="C102" s="39" t="n"/>
      <c r="D102" s="24" t="n"/>
      <c r="E102" s="24" t="n"/>
      <c r="F102" s="24" t="n"/>
      <c r="G102" s="24" t="n"/>
      <c r="H102" s="40" t="n"/>
      <c r="I102" s="40" t="n"/>
      <c r="J102" s="25" t="n"/>
      <c r="K102" s="24">
        <f>IF($B102="","",IF($G102="완료","-",I102-TODAY()))</f>
        <v/>
      </c>
      <c r="L102" s="24">
        <f>IF($B102="","",I102-H102+1)</f>
        <v/>
      </c>
      <c r="M102" s="39" t="n"/>
    </row>
    <row r="103">
      <c r="B103" s="24" t="n"/>
      <c r="C103" s="39" t="n"/>
      <c r="D103" s="24" t="n"/>
      <c r="E103" s="24" t="n"/>
      <c r="F103" s="24" t="n"/>
      <c r="G103" s="24" t="n"/>
      <c r="H103" s="40" t="n"/>
      <c r="I103" s="40" t="n"/>
      <c r="J103" s="25" t="n"/>
      <c r="K103" s="24">
        <f>IF($B103="","",IF($G103="완료","-",I103-TODAY()))</f>
        <v/>
      </c>
      <c r="L103" s="24">
        <f>IF($B103="","",I103-H103+1)</f>
        <v/>
      </c>
      <c r="M103" s="39" t="n"/>
    </row>
    <row r="104">
      <c r="B104" s="24" t="n"/>
      <c r="C104" s="39" t="n"/>
      <c r="D104" s="24" t="n"/>
      <c r="E104" s="24" t="n"/>
      <c r="F104" s="24" t="n"/>
      <c r="G104" s="24" t="n"/>
      <c r="H104" s="40" t="n"/>
      <c r="I104" s="40" t="n"/>
      <c r="J104" s="25" t="n"/>
      <c r="K104" s="24">
        <f>IF($B104="","",IF($G104="완료","-",I104-TODAY()))</f>
        <v/>
      </c>
      <c r="L104" s="24">
        <f>IF($B104="","",I104-H104+1)</f>
        <v/>
      </c>
      <c r="M104" s="39" t="n"/>
    </row>
    <row r="105">
      <c r="B105" s="24" t="n"/>
      <c r="C105" s="39" t="n"/>
      <c r="D105" s="24" t="n"/>
      <c r="E105" s="24" t="n"/>
      <c r="F105" s="24" t="n"/>
      <c r="G105" s="24" t="n"/>
      <c r="H105" s="40" t="n"/>
      <c r="I105" s="40" t="n"/>
      <c r="J105" s="25" t="n"/>
      <c r="K105" s="24">
        <f>IF($B105="","",IF($G105="완료","-",I105-TODAY()))</f>
        <v/>
      </c>
      <c r="L105" s="24">
        <f>IF($B105="","",I105-H105+1)</f>
        <v/>
      </c>
      <c r="M105" s="39" t="n"/>
    </row>
  </sheetData>
  <autoFilter ref="B5:M105"/>
  <conditionalFormatting sqref="G6:G105">
    <cfRule type="cellIs" priority="1" operator="equal" dxfId="0">
      <formula>"계획"</formula>
    </cfRule>
    <cfRule type="cellIs" priority="2" operator="equal" dxfId="1">
      <formula>"진행중"</formula>
    </cfRule>
    <cfRule type="cellIs" priority="3" operator="equal" dxfId="2">
      <formula>"완료"</formula>
    </cfRule>
    <cfRule type="cellIs" priority="4" operator="equal" dxfId="3">
      <formula>"보류"</formula>
    </cfRule>
    <cfRule type="cellIs" priority="5" operator="equal" dxfId="4">
      <formula>"지연"</formula>
    </cfRule>
  </conditionalFormatting>
  <conditionalFormatting sqref="F6:F105">
    <cfRule type="cellIs" priority="6" operator="equal" dxfId="5">
      <formula>"높음"</formula>
    </cfRule>
  </conditionalFormatting>
  <conditionalFormatting sqref="J6:J105">
    <cfRule type="dataBar" priority="7">
      <dataBar showValue="1">
        <cfvo type="num" val="0"/>
        <cfvo type="num" val="1"/>
        <color rgb="002E75B6"/>
      </dataBar>
    </cfRule>
  </conditionalFormatting>
  <conditionalFormatting sqref="K6:K105">
    <cfRule type="expression" priority="8" dxfId="4">
      <formula>AND($B6&lt;&gt;"",$G6&lt;&gt;"완료",ISNUMBER($K6),$K6&lt;0)</formula>
    </cfRule>
    <cfRule type="expression" priority="9" dxfId="6">
      <formula>AND($B6&lt;&gt;"",$G6&lt;&gt;"완료",ISNUMBER($K6),$K6&gt;=0,$K6&lt;=7)</formula>
    </cfRule>
  </conditionalFormatting>
  <dataValidations count="4">
    <dataValidation sqref="G6:G105" showDropDown="0" showInputMessage="0" showErrorMessage="0" allowBlank="1" type="list">
      <formula1>=상태목록</formula1>
    </dataValidation>
    <dataValidation sqref="F6:F105" showDropDown="0" showInputMessage="0" showErrorMessage="0" allowBlank="1" type="list">
      <formula1>=우선순위목록</formula1>
    </dataValidation>
    <dataValidation sqref="E6:E105" showDropDown="0" showInputMessage="0" showErrorMessage="0" allowBlank="1" type="list">
      <formula1>=분류목록</formula1>
    </dataValidation>
    <dataValidation sqref="D6:D105" showDropDown="0" showInputMessage="0" showErrorMessage="0" allowBlank="1" type="list">
      <formula1>=팀원목록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10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12" customWidth="1" min="3" max="3"/>
    <col width="32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28" customWidth="1" min="12" max="12"/>
  </cols>
  <sheetData>
    <row r="2">
      <c r="B2" s="37" t="inlineStr">
        <is>
          <t>✅ 작업(태스크) 목록</t>
        </is>
      </c>
    </row>
    <row r="3">
      <c r="B3" s="38" t="inlineStr">
        <is>
          <t>프로젝트 ID를 입력해 프로젝트와 연결하세요. 프로젝트 시트의 진행률은 여기 작업 진행률을 참고해 직접 갱신합니다.</t>
        </is>
      </c>
    </row>
    <row r="5" ht="28" customHeight="1">
      <c r="B5" s="22" t="inlineStr">
        <is>
          <t>작업 ID</t>
        </is>
      </c>
      <c r="C5" s="22" t="inlineStr">
        <is>
          <t>프로젝트 ID</t>
        </is>
      </c>
      <c r="D5" s="22" t="inlineStr">
        <is>
          <t>작업명</t>
        </is>
      </c>
      <c r="E5" s="22" t="inlineStr">
        <is>
          <t>담당자</t>
        </is>
      </c>
      <c r="F5" s="22" t="inlineStr">
        <is>
          <t>우선순위</t>
        </is>
      </c>
      <c r="G5" s="22" t="inlineStr">
        <is>
          <t>상태</t>
        </is>
      </c>
      <c r="H5" s="22" t="inlineStr">
        <is>
          <t>시작일</t>
        </is>
      </c>
      <c r="I5" s="22" t="inlineStr">
        <is>
          <t>마감일</t>
        </is>
      </c>
      <c r="J5" s="22" t="inlineStr">
        <is>
          <t>진행률</t>
        </is>
      </c>
      <c r="K5" s="22" t="inlineStr">
        <is>
          <t>남은 일수</t>
        </is>
      </c>
      <c r="L5" s="22" t="inlineStr">
        <is>
          <t>비고</t>
        </is>
      </c>
    </row>
    <row r="6">
      <c r="B6" s="24" t="inlineStr">
        <is>
          <t>T-001</t>
        </is>
      </c>
      <c r="C6" s="24" t="inlineStr">
        <is>
          <t>PRJ-001</t>
        </is>
      </c>
      <c r="D6" s="39" t="inlineStr">
        <is>
          <t>와이어프레임 작성</t>
        </is>
      </c>
      <c r="E6" s="24" t="inlineStr">
        <is>
          <t>김철수</t>
        </is>
      </c>
      <c r="F6" s="24" t="inlineStr">
        <is>
          <t>높음</t>
        </is>
      </c>
      <c r="G6" s="24" t="inlineStr">
        <is>
          <t>완료</t>
        </is>
      </c>
      <c r="H6" s="40" t="n">
        <v>46174</v>
      </c>
      <c r="I6" s="40" t="n">
        <v>46185</v>
      </c>
      <c r="J6" s="25" t="n">
        <v>1</v>
      </c>
      <c r="K6" s="24">
        <f>IF($B6="","",IF($G6="완료","-",I6-TODAY()))</f>
        <v/>
      </c>
      <c r="L6" s="39" t="inlineStr"/>
    </row>
    <row r="7">
      <c r="B7" s="24" t="inlineStr">
        <is>
          <t>T-002</t>
        </is>
      </c>
      <c r="C7" s="24" t="inlineStr">
        <is>
          <t>PRJ-001</t>
        </is>
      </c>
      <c r="D7" s="39" t="inlineStr">
        <is>
          <t>메인 페이지 퍼블리싱</t>
        </is>
      </c>
      <c r="E7" s="24" t="inlineStr">
        <is>
          <t>김철수</t>
        </is>
      </c>
      <c r="F7" s="24" t="inlineStr">
        <is>
          <t>높음</t>
        </is>
      </c>
      <c r="G7" s="24" t="inlineStr">
        <is>
          <t>진행중</t>
        </is>
      </c>
      <c r="H7" s="40" t="n">
        <v>46188</v>
      </c>
      <c r="I7" s="40" t="n">
        <v>46221</v>
      </c>
      <c r="J7" s="25" t="n">
        <v>0.6</v>
      </c>
      <c r="K7" s="24">
        <f>IF($B7="","",IF($G7="완료","-",I7-TODAY()))</f>
        <v/>
      </c>
      <c r="L7" s="39" t="inlineStr"/>
    </row>
    <row r="8">
      <c r="B8" s="24" t="inlineStr">
        <is>
          <t>T-003</t>
        </is>
      </c>
      <c r="C8" s="24" t="inlineStr">
        <is>
          <t>PRJ-001</t>
        </is>
      </c>
      <c r="D8" s="39" t="inlineStr">
        <is>
          <t>백엔드 API 연동</t>
        </is>
      </c>
      <c r="E8" s="24" t="inlineStr">
        <is>
          <t>박민수</t>
        </is>
      </c>
      <c r="F8" s="24" t="inlineStr">
        <is>
          <t>중간</t>
        </is>
      </c>
      <c r="G8" s="24" t="inlineStr">
        <is>
          <t>진행중</t>
        </is>
      </c>
      <c r="H8" s="40" t="n">
        <v>46204</v>
      </c>
      <c r="I8" s="40" t="n">
        <v>46241</v>
      </c>
      <c r="J8" s="25" t="n">
        <v>0.3</v>
      </c>
      <c r="K8" s="24">
        <f>IF($B8="","",IF($G8="완료","-",I8-TODAY()))</f>
        <v/>
      </c>
      <c r="L8" s="39" t="inlineStr"/>
    </row>
    <row r="9">
      <c r="B9" s="24" t="inlineStr">
        <is>
          <t>T-004</t>
        </is>
      </c>
      <c r="C9" s="24" t="inlineStr">
        <is>
          <t>PRJ-002</t>
        </is>
      </c>
      <c r="D9" s="39" t="inlineStr">
        <is>
          <t>베타 테스트 피드백 반영</t>
        </is>
      </c>
      <c r="E9" s="24" t="inlineStr">
        <is>
          <t>이영희</t>
        </is>
      </c>
      <c r="F9" s="24" t="inlineStr">
        <is>
          <t>높음</t>
        </is>
      </c>
      <c r="G9" s="24" t="inlineStr">
        <is>
          <t>진행중</t>
        </is>
      </c>
      <c r="H9" s="40" t="n">
        <v>46195</v>
      </c>
      <c r="I9" s="40" t="n">
        <v>46220</v>
      </c>
      <c r="J9" s="25" t="n">
        <v>0.8</v>
      </c>
      <c r="K9" s="24">
        <f>IF($B9="","",IF($G9="완료","-",I9-TODAY()))</f>
        <v/>
      </c>
      <c r="L9" s="39" t="inlineStr"/>
    </row>
    <row r="10">
      <c r="B10" s="24" t="inlineStr">
        <is>
          <t>T-005</t>
        </is>
      </c>
      <c r="C10" s="24" t="inlineStr">
        <is>
          <t>PRJ-002</t>
        </is>
      </c>
      <c r="D10" s="39" t="inlineStr">
        <is>
          <t>스토어 심사 제출</t>
        </is>
      </c>
      <c r="E10" s="24" t="inlineStr">
        <is>
          <t>이영희</t>
        </is>
      </c>
      <c r="F10" s="24" t="inlineStr">
        <is>
          <t>높음</t>
        </is>
      </c>
      <c r="G10" s="24" t="inlineStr">
        <is>
          <t>계획</t>
        </is>
      </c>
      <c r="H10" s="40" t="n">
        <v>46223</v>
      </c>
      <c r="I10" s="40" t="n">
        <v>46230</v>
      </c>
      <c r="J10" s="25" t="n">
        <v>0</v>
      </c>
      <c r="K10" s="24">
        <f>IF($B10="","",IF($G10="완료","-",I10-TODAY()))</f>
        <v/>
      </c>
      <c r="L10" s="39" t="inlineStr">
        <is>
          <t>심사 기간 고려</t>
        </is>
      </c>
    </row>
    <row r="11">
      <c r="B11" s="24" t="inlineStr">
        <is>
          <t>T-006</t>
        </is>
      </c>
      <c r="C11" s="24" t="inlineStr">
        <is>
          <t>PRJ-005</t>
        </is>
      </c>
      <c r="D11" s="39" t="inlineStr">
        <is>
          <t>로고 시안 확정</t>
        </is>
      </c>
      <c r="E11" s="24" t="inlineStr">
        <is>
          <t>최지훈</t>
        </is>
      </c>
      <c r="F11" s="24" t="inlineStr">
        <is>
          <t>중간</t>
        </is>
      </c>
      <c r="G11" s="24" t="inlineStr">
        <is>
          <t>지연</t>
        </is>
      </c>
      <c r="H11" s="40" t="n">
        <v>46174</v>
      </c>
      <c r="I11" s="40" t="n">
        <v>46206</v>
      </c>
      <c r="J11" s="25" t="n">
        <v>0.9</v>
      </c>
      <c r="K11" s="24">
        <f>IF($B11="","",IF($G11="완료","-",I11-TODAY()))</f>
        <v/>
      </c>
      <c r="L11" s="39" t="inlineStr">
        <is>
          <t>외주사 회신 대기</t>
        </is>
      </c>
    </row>
    <row r="12">
      <c r="B12" s="24" t="n"/>
      <c r="C12" s="24" t="n"/>
      <c r="D12" s="39" t="n"/>
      <c r="E12" s="24" t="n"/>
      <c r="F12" s="24" t="n"/>
      <c r="G12" s="24" t="n"/>
      <c r="H12" s="40" t="n"/>
      <c r="I12" s="40" t="n"/>
      <c r="J12" s="25" t="n"/>
      <c r="K12" s="24">
        <f>IF($B12="","",IF($G12="완료","-",I12-TODAY()))</f>
        <v/>
      </c>
      <c r="L12" s="39" t="n"/>
    </row>
    <row r="13">
      <c r="B13" s="24" t="n"/>
      <c r="C13" s="24" t="n"/>
      <c r="D13" s="39" t="n"/>
      <c r="E13" s="24" t="n"/>
      <c r="F13" s="24" t="n"/>
      <c r="G13" s="24" t="n"/>
      <c r="H13" s="40" t="n"/>
      <c r="I13" s="40" t="n"/>
      <c r="J13" s="25" t="n"/>
      <c r="K13" s="24">
        <f>IF($B13="","",IF($G13="완료","-",I13-TODAY()))</f>
        <v/>
      </c>
      <c r="L13" s="39" t="n"/>
    </row>
    <row r="14">
      <c r="B14" s="24" t="n"/>
      <c r="C14" s="24" t="n"/>
      <c r="D14" s="39" t="n"/>
      <c r="E14" s="24" t="n"/>
      <c r="F14" s="24" t="n"/>
      <c r="G14" s="24" t="n"/>
      <c r="H14" s="40" t="n"/>
      <c r="I14" s="40" t="n"/>
      <c r="J14" s="25" t="n"/>
      <c r="K14" s="24">
        <f>IF($B14="","",IF($G14="완료","-",I14-TODAY()))</f>
        <v/>
      </c>
      <c r="L14" s="39" t="n"/>
    </row>
    <row r="15">
      <c r="B15" s="24" t="n"/>
      <c r="C15" s="24" t="n"/>
      <c r="D15" s="39" t="n"/>
      <c r="E15" s="24" t="n"/>
      <c r="F15" s="24" t="n"/>
      <c r="G15" s="24" t="n"/>
      <c r="H15" s="40" t="n"/>
      <c r="I15" s="40" t="n"/>
      <c r="J15" s="25" t="n"/>
      <c r="K15" s="24">
        <f>IF($B15="","",IF($G15="완료","-",I15-TODAY()))</f>
        <v/>
      </c>
      <c r="L15" s="39" t="n"/>
    </row>
    <row r="16">
      <c r="B16" s="24" t="n"/>
      <c r="C16" s="24" t="n"/>
      <c r="D16" s="39" t="n"/>
      <c r="E16" s="24" t="n"/>
      <c r="F16" s="24" t="n"/>
      <c r="G16" s="24" t="n"/>
      <c r="H16" s="40" t="n"/>
      <c r="I16" s="40" t="n"/>
      <c r="J16" s="25" t="n"/>
      <c r="K16" s="24">
        <f>IF($B16="","",IF($G16="완료","-",I16-TODAY()))</f>
        <v/>
      </c>
      <c r="L16" s="39" t="n"/>
    </row>
    <row r="17">
      <c r="B17" s="24" t="n"/>
      <c r="C17" s="24" t="n"/>
      <c r="D17" s="39" t="n"/>
      <c r="E17" s="24" t="n"/>
      <c r="F17" s="24" t="n"/>
      <c r="G17" s="24" t="n"/>
      <c r="H17" s="40" t="n"/>
      <c r="I17" s="40" t="n"/>
      <c r="J17" s="25" t="n"/>
      <c r="K17" s="24">
        <f>IF($B17="","",IF($G17="완료","-",I17-TODAY()))</f>
        <v/>
      </c>
      <c r="L17" s="39" t="n"/>
    </row>
    <row r="18">
      <c r="B18" s="24" t="n"/>
      <c r="C18" s="24" t="n"/>
      <c r="D18" s="39" t="n"/>
      <c r="E18" s="24" t="n"/>
      <c r="F18" s="24" t="n"/>
      <c r="G18" s="24" t="n"/>
      <c r="H18" s="40" t="n"/>
      <c r="I18" s="40" t="n"/>
      <c r="J18" s="25" t="n"/>
      <c r="K18" s="24">
        <f>IF($B18="","",IF($G18="완료","-",I18-TODAY()))</f>
        <v/>
      </c>
      <c r="L18" s="39" t="n"/>
    </row>
    <row r="19">
      <c r="B19" s="24" t="n"/>
      <c r="C19" s="24" t="n"/>
      <c r="D19" s="39" t="n"/>
      <c r="E19" s="24" t="n"/>
      <c r="F19" s="24" t="n"/>
      <c r="G19" s="24" t="n"/>
      <c r="H19" s="40" t="n"/>
      <c r="I19" s="40" t="n"/>
      <c r="J19" s="25" t="n"/>
      <c r="K19" s="24">
        <f>IF($B19="","",IF($G19="완료","-",I19-TODAY()))</f>
        <v/>
      </c>
      <c r="L19" s="39" t="n"/>
    </row>
    <row r="20">
      <c r="B20" s="24" t="n"/>
      <c r="C20" s="24" t="n"/>
      <c r="D20" s="39" t="n"/>
      <c r="E20" s="24" t="n"/>
      <c r="F20" s="24" t="n"/>
      <c r="G20" s="24" t="n"/>
      <c r="H20" s="40" t="n"/>
      <c r="I20" s="40" t="n"/>
      <c r="J20" s="25" t="n"/>
      <c r="K20" s="24">
        <f>IF($B20="","",IF($G20="완료","-",I20-TODAY()))</f>
        <v/>
      </c>
      <c r="L20" s="39" t="n"/>
    </row>
    <row r="21">
      <c r="B21" s="24" t="n"/>
      <c r="C21" s="24" t="n"/>
      <c r="D21" s="39" t="n"/>
      <c r="E21" s="24" t="n"/>
      <c r="F21" s="24" t="n"/>
      <c r="G21" s="24" t="n"/>
      <c r="H21" s="40" t="n"/>
      <c r="I21" s="40" t="n"/>
      <c r="J21" s="25" t="n"/>
      <c r="K21" s="24">
        <f>IF($B21="","",IF($G21="완료","-",I21-TODAY()))</f>
        <v/>
      </c>
      <c r="L21" s="39" t="n"/>
    </row>
    <row r="22">
      <c r="B22" s="24" t="n"/>
      <c r="C22" s="24" t="n"/>
      <c r="D22" s="39" t="n"/>
      <c r="E22" s="24" t="n"/>
      <c r="F22" s="24" t="n"/>
      <c r="G22" s="24" t="n"/>
      <c r="H22" s="40" t="n"/>
      <c r="I22" s="40" t="n"/>
      <c r="J22" s="25" t="n"/>
      <c r="K22" s="24">
        <f>IF($B22="","",IF($G22="완료","-",I22-TODAY()))</f>
        <v/>
      </c>
      <c r="L22" s="39" t="n"/>
    </row>
    <row r="23">
      <c r="B23" s="24" t="n"/>
      <c r="C23" s="24" t="n"/>
      <c r="D23" s="39" t="n"/>
      <c r="E23" s="24" t="n"/>
      <c r="F23" s="24" t="n"/>
      <c r="G23" s="24" t="n"/>
      <c r="H23" s="40" t="n"/>
      <c r="I23" s="40" t="n"/>
      <c r="J23" s="25" t="n"/>
      <c r="K23" s="24">
        <f>IF($B23="","",IF($G23="완료","-",I23-TODAY()))</f>
        <v/>
      </c>
      <c r="L23" s="39" t="n"/>
    </row>
    <row r="24">
      <c r="B24" s="24" t="n"/>
      <c r="C24" s="24" t="n"/>
      <c r="D24" s="39" t="n"/>
      <c r="E24" s="24" t="n"/>
      <c r="F24" s="24" t="n"/>
      <c r="G24" s="24" t="n"/>
      <c r="H24" s="40" t="n"/>
      <c r="I24" s="40" t="n"/>
      <c r="J24" s="25" t="n"/>
      <c r="K24" s="24">
        <f>IF($B24="","",IF($G24="완료","-",I24-TODAY()))</f>
        <v/>
      </c>
      <c r="L24" s="39" t="n"/>
    </row>
    <row r="25">
      <c r="B25" s="24" t="n"/>
      <c r="C25" s="24" t="n"/>
      <c r="D25" s="39" t="n"/>
      <c r="E25" s="24" t="n"/>
      <c r="F25" s="24" t="n"/>
      <c r="G25" s="24" t="n"/>
      <c r="H25" s="40" t="n"/>
      <c r="I25" s="40" t="n"/>
      <c r="J25" s="25" t="n"/>
      <c r="K25" s="24">
        <f>IF($B25="","",IF($G25="완료","-",I25-TODAY()))</f>
        <v/>
      </c>
      <c r="L25" s="39" t="n"/>
    </row>
    <row r="26">
      <c r="B26" s="24" t="n"/>
      <c r="C26" s="24" t="n"/>
      <c r="D26" s="39" t="n"/>
      <c r="E26" s="24" t="n"/>
      <c r="F26" s="24" t="n"/>
      <c r="G26" s="24" t="n"/>
      <c r="H26" s="40" t="n"/>
      <c r="I26" s="40" t="n"/>
      <c r="J26" s="25" t="n"/>
      <c r="K26" s="24">
        <f>IF($B26="","",IF($G26="완료","-",I26-TODAY()))</f>
        <v/>
      </c>
      <c r="L26" s="39" t="n"/>
    </row>
    <row r="27">
      <c r="B27" s="24" t="n"/>
      <c r="C27" s="24" t="n"/>
      <c r="D27" s="39" t="n"/>
      <c r="E27" s="24" t="n"/>
      <c r="F27" s="24" t="n"/>
      <c r="G27" s="24" t="n"/>
      <c r="H27" s="40" t="n"/>
      <c r="I27" s="40" t="n"/>
      <c r="J27" s="25" t="n"/>
      <c r="K27" s="24">
        <f>IF($B27="","",IF($G27="완료","-",I27-TODAY()))</f>
        <v/>
      </c>
      <c r="L27" s="39" t="n"/>
    </row>
    <row r="28">
      <c r="B28" s="24" t="n"/>
      <c r="C28" s="24" t="n"/>
      <c r="D28" s="39" t="n"/>
      <c r="E28" s="24" t="n"/>
      <c r="F28" s="24" t="n"/>
      <c r="G28" s="24" t="n"/>
      <c r="H28" s="40" t="n"/>
      <c r="I28" s="40" t="n"/>
      <c r="J28" s="25" t="n"/>
      <c r="K28" s="24">
        <f>IF($B28="","",IF($G28="완료","-",I28-TODAY()))</f>
        <v/>
      </c>
      <c r="L28" s="39" t="n"/>
    </row>
    <row r="29">
      <c r="B29" s="24" t="n"/>
      <c r="C29" s="24" t="n"/>
      <c r="D29" s="39" t="n"/>
      <c r="E29" s="24" t="n"/>
      <c r="F29" s="24" t="n"/>
      <c r="G29" s="24" t="n"/>
      <c r="H29" s="40" t="n"/>
      <c r="I29" s="40" t="n"/>
      <c r="J29" s="25" t="n"/>
      <c r="K29" s="24">
        <f>IF($B29="","",IF($G29="완료","-",I29-TODAY()))</f>
        <v/>
      </c>
      <c r="L29" s="39" t="n"/>
    </row>
    <row r="30">
      <c r="B30" s="24" t="n"/>
      <c r="C30" s="24" t="n"/>
      <c r="D30" s="39" t="n"/>
      <c r="E30" s="24" t="n"/>
      <c r="F30" s="24" t="n"/>
      <c r="G30" s="24" t="n"/>
      <c r="H30" s="40" t="n"/>
      <c r="I30" s="40" t="n"/>
      <c r="J30" s="25" t="n"/>
      <c r="K30" s="24">
        <f>IF($B30="","",IF($G30="완료","-",I30-TODAY()))</f>
        <v/>
      </c>
      <c r="L30" s="39" t="n"/>
    </row>
    <row r="31">
      <c r="B31" s="24" t="n"/>
      <c r="C31" s="24" t="n"/>
      <c r="D31" s="39" t="n"/>
      <c r="E31" s="24" t="n"/>
      <c r="F31" s="24" t="n"/>
      <c r="G31" s="24" t="n"/>
      <c r="H31" s="40" t="n"/>
      <c r="I31" s="40" t="n"/>
      <c r="J31" s="25" t="n"/>
      <c r="K31" s="24">
        <f>IF($B31="","",IF($G31="완료","-",I31-TODAY()))</f>
        <v/>
      </c>
      <c r="L31" s="39" t="n"/>
    </row>
    <row r="32">
      <c r="B32" s="24" t="n"/>
      <c r="C32" s="24" t="n"/>
      <c r="D32" s="39" t="n"/>
      <c r="E32" s="24" t="n"/>
      <c r="F32" s="24" t="n"/>
      <c r="G32" s="24" t="n"/>
      <c r="H32" s="40" t="n"/>
      <c r="I32" s="40" t="n"/>
      <c r="J32" s="25" t="n"/>
      <c r="K32" s="24">
        <f>IF($B32="","",IF($G32="완료","-",I32-TODAY()))</f>
        <v/>
      </c>
      <c r="L32" s="39" t="n"/>
    </row>
    <row r="33">
      <c r="B33" s="24" t="n"/>
      <c r="C33" s="24" t="n"/>
      <c r="D33" s="39" t="n"/>
      <c r="E33" s="24" t="n"/>
      <c r="F33" s="24" t="n"/>
      <c r="G33" s="24" t="n"/>
      <c r="H33" s="40" t="n"/>
      <c r="I33" s="40" t="n"/>
      <c r="J33" s="25" t="n"/>
      <c r="K33" s="24">
        <f>IF($B33="","",IF($G33="완료","-",I33-TODAY()))</f>
        <v/>
      </c>
      <c r="L33" s="39" t="n"/>
    </row>
    <row r="34">
      <c r="B34" s="24" t="n"/>
      <c r="C34" s="24" t="n"/>
      <c r="D34" s="39" t="n"/>
      <c r="E34" s="24" t="n"/>
      <c r="F34" s="24" t="n"/>
      <c r="G34" s="24" t="n"/>
      <c r="H34" s="40" t="n"/>
      <c r="I34" s="40" t="n"/>
      <c r="J34" s="25" t="n"/>
      <c r="K34" s="24">
        <f>IF($B34="","",IF($G34="완료","-",I34-TODAY()))</f>
        <v/>
      </c>
      <c r="L34" s="39" t="n"/>
    </row>
    <row r="35">
      <c r="B35" s="24" t="n"/>
      <c r="C35" s="24" t="n"/>
      <c r="D35" s="39" t="n"/>
      <c r="E35" s="24" t="n"/>
      <c r="F35" s="24" t="n"/>
      <c r="G35" s="24" t="n"/>
      <c r="H35" s="40" t="n"/>
      <c r="I35" s="40" t="n"/>
      <c r="J35" s="25" t="n"/>
      <c r="K35" s="24">
        <f>IF($B35="","",IF($G35="완료","-",I35-TODAY()))</f>
        <v/>
      </c>
      <c r="L35" s="39" t="n"/>
    </row>
    <row r="36">
      <c r="B36" s="24" t="n"/>
      <c r="C36" s="24" t="n"/>
      <c r="D36" s="39" t="n"/>
      <c r="E36" s="24" t="n"/>
      <c r="F36" s="24" t="n"/>
      <c r="G36" s="24" t="n"/>
      <c r="H36" s="40" t="n"/>
      <c r="I36" s="40" t="n"/>
      <c r="J36" s="25" t="n"/>
      <c r="K36" s="24">
        <f>IF($B36="","",IF($G36="완료","-",I36-TODAY()))</f>
        <v/>
      </c>
      <c r="L36" s="39" t="n"/>
    </row>
    <row r="37">
      <c r="B37" s="24" t="n"/>
      <c r="C37" s="24" t="n"/>
      <c r="D37" s="39" t="n"/>
      <c r="E37" s="24" t="n"/>
      <c r="F37" s="24" t="n"/>
      <c r="G37" s="24" t="n"/>
      <c r="H37" s="40" t="n"/>
      <c r="I37" s="40" t="n"/>
      <c r="J37" s="25" t="n"/>
      <c r="K37" s="24">
        <f>IF($B37="","",IF($G37="완료","-",I37-TODAY()))</f>
        <v/>
      </c>
      <c r="L37" s="39" t="n"/>
    </row>
    <row r="38">
      <c r="B38" s="24" t="n"/>
      <c r="C38" s="24" t="n"/>
      <c r="D38" s="39" t="n"/>
      <c r="E38" s="24" t="n"/>
      <c r="F38" s="24" t="n"/>
      <c r="G38" s="24" t="n"/>
      <c r="H38" s="40" t="n"/>
      <c r="I38" s="40" t="n"/>
      <c r="J38" s="25" t="n"/>
      <c r="K38" s="24">
        <f>IF($B38="","",IF($G38="완료","-",I38-TODAY()))</f>
        <v/>
      </c>
      <c r="L38" s="39" t="n"/>
    </row>
    <row r="39">
      <c r="B39" s="24" t="n"/>
      <c r="C39" s="24" t="n"/>
      <c r="D39" s="39" t="n"/>
      <c r="E39" s="24" t="n"/>
      <c r="F39" s="24" t="n"/>
      <c r="G39" s="24" t="n"/>
      <c r="H39" s="40" t="n"/>
      <c r="I39" s="40" t="n"/>
      <c r="J39" s="25" t="n"/>
      <c r="K39" s="24">
        <f>IF($B39="","",IF($G39="완료","-",I39-TODAY()))</f>
        <v/>
      </c>
      <c r="L39" s="39" t="n"/>
    </row>
    <row r="40">
      <c r="B40" s="24" t="n"/>
      <c r="C40" s="24" t="n"/>
      <c r="D40" s="39" t="n"/>
      <c r="E40" s="24" t="n"/>
      <c r="F40" s="24" t="n"/>
      <c r="G40" s="24" t="n"/>
      <c r="H40" s="40" t="n"/>
      <c r="I40" s="40" t="n"/>
      <c r="J40" s="25" t="n"/>
      <c r="K40" s="24">
        <f>IF($B40="","",IF($G40="완료","-",I40-TODAY()))</f>
        <v/>
      </c>
      <c r="L40" s="39" t="n"/>
    </row>
    <row r="41">
      <c r="B41" s="24" t="n"/>
      <c r="C41" s="24" t="n"/>
      <c r="D41" s="39" t="n"/>
      <c r="E41" s="24" t="n"/>
      <c r="F41" s="24" t="n"/>
      <c r="G41" s="24" t="n"/>
      <c r="H41" s="40" t="n"/>
      <c r="I41" s="40" t="n"/>
      <c r="J41" s="25" t="n"/>
      <c r="K41" s="24">
        <f>IF($B41="","",IF($G41="완료","-",I41-TODAY()))</f>
        <v/>
      </c>
      <c r="L41" s="39" t="n"/>
    </row>
    <row r="42">
      <c r="B42" s="24" t="n"/>
      <c r="C42" s="24" t="n"/>
      <c r="D42" s="39" t="n"/>
      <c r="E42" s="24" t="n"/>
      <c r="F42" s="24" t="n"/>
      <c r="G42" s="24" t="n"/>
      <c r="H42" s="40" t="n"/>
      <c r="I42" s="40" t="n"/>
      <c r="J42" s="25" t="n"/>
      <c r="K42" s="24">
        <f>IF($B42="","",IF($G42="완료","-",I42-TODAY()))</f>
        <v/>
      </c>
      <c r="L42" s="39" t="n"/>
    </row>
    <row r="43">
      <c r="B43" s="24" t="n"/>
      <c r="C43" s="24" t="n"/>
      <c r="D43" s="39" t="n"/>
      <c r="E43" s="24" t="n"/>
      <c r="F43" s="24" t="n"/>
      <c r="G43" s="24" t="n"/>
      <c r="H43" s="40" t="n"/>
      <c r="I43" s="40" t="n"/>
      <c r="J43" s="25" t="n"/>
      <c r="K43" s="24">
        <f>IF($B43="","",IF($G43="완료","-",I43-TODAY()))</f>
        <v/>
      </c>
      <c r="L43" s="39" t="n"/>
    </row>
    <row r="44">
      <c r="B44" s="24" t="n"/>
      <c r="C44" s="24" t="n"/>
      <c r="D44" s="39" t="n"/>
      <c r="E44" s="24" t="n"/>
      <c r="F44" s="24" t="n"/>
      <c r="G44" s="24" t="n"/>
      <c r="H44" s="40" t="n"/>
      <c r="I44" s="40" t="n"/>
      <c r="J44" s="25" t="n"/>
      <c r="K44" s="24">
        <f>IF($B44="","",IF($G44="완료","-",I44-TODAY()))</f>
        <v/>
      </c>
      <c r="L44" s="39" t="n"/>
    </row>
    <row r="45">
      <c r="B45" s="24" t="n"/>
      <c r="C45" s="24" t="n"/>
      <c r="D45" s="39" t="n"/>
      <c r="E45" s="24" t="n"/>
      <c r="F45" s="24" t="n"/>
      <c r="G45" s="24" t="n"/>
      <c r="H45" s="40" t="n"/>
      <c r="I45" s="40" t="n"/>
      <c r="J45" s="25" t="n"/>
      <c r="K45" s="24">
        <f>IF($B45="","",IF($G45="완료","-",I45-TODAY()))</f>
        <v/>
      </c>
      <c r="L45" s="39" t="n"/>
    </row>
    <row r="46">
      <c r="B46" s="24" t="n"/>
      <c r="C46" s="24" t="n"/>
      <c r="D46" s="39" t="n"/>
      <c r="E46" s="24" t="n"/>
      <c r="F46" s="24" t="n"/>
      <c r="G46" s="24" t="n"/>
      <c r="H46" s="40" t="n"/>
      <c r="I46" s="40" t="n"/>
      <c r="J46" s="25" t="n"/>
      <c r="K46" s="24">
        <f>IF($B46="","",IF($G46="완료","-",I46-TODAY()))</f>
        <v/>
      </c>
      <c r="L46" s="39" t="n"/>
    </row>
    <row r="47">
      <c r="B47" s="24" t="n"/>
      <c r="C47" s="24" t="n"/>
      <c r="D47" s="39" t="n"/>
      <c r="E47" s="24" t="n"/>
      <c r="F47" s="24" t="n"/>
      <c r="G47" s="24" t="n"/>
      <c r="H47" s="40" t="n"/>
      <c r="I47" s="40" t="n"/>
      <c r="J47" s="25" t="n"/>
      <c r="K47" s="24">
        <f>IF($B47="","",IF($G47="완료","-",I47-TODAY()))</f>
        <v/>
      </c>
      <c r="L47" s="39" t="n"/>
    </row>
    <row r="48">
      <c r="B48" s="24" t="n"/>
      <c r="C48" s="24" t="n"/>
      <c r="D48" s="39" t="n"/>
      <c r="E48" s="24" t="n"/>
      <c r="F48" s="24" t="n"/>
      <c r="G48" s="24" t="n"/>
      <c r="H48" s="40" t="n"/>
      <c r="I48" s="40" t="n"/>
      <c r="J48" s="25" t="n"/>
      <c r="K48" s="24">
        <f>IF($B48="","",IF($G48="완료","-",I48-TODAY()))</f>
        <v/>
      </c>
      <c r="L48" s="39" t="n"/>
    </row>
    <row r="49">
      <c r="B49" s="24" t="n"/>
      <c r="C49" s="24" t="n"/>
      <c r="D49" s="39" t="n"/>
      <c r="E49" s="24" t="n"/>
      <c r="F49" s="24" t="n"/>
      <c r="G49" s="24" t="n"/>
      <c r="H49" s="40" t="n"/>
      <c r="I49" s="40" t="n"/>
      <c r="J49" s="25" t="n"/>
      <c r="K49" s="24">
        <f>IF($B49="","",IF($G49="완료","-",I49-TODAY()))</f>
        <v/>
      </c>
      <c r="L49" s="39" t="n"/>
    </row>
    <row r="50">
      <c r="B50" s="24" t="n"/>
      <c r="C50" s="24" t="n"/>
      <c r="D50" s="39" t="n"/>
      <c r="E50" s="24" t="n"/>
      <c r="F50" s="24" t="n"/>
      <c r="G50" s="24" t="n"/>
      <c r="H50" s="40" t="n"/>
      <c r="I50" s="40" t="n"/>
      <c r="J50" s="25" t="n"/>
      <c r="K50" s="24">
        <f>IF($B50="","",IF($G50="완료","-",I50-TODAY()))</f>
        <v/>
      </c>
      <c r="L50" s="39" t="n"/>
    </row>
    <row r="51">
      <c r="B51" s="24" t="n"/>
      <c r="C51" s="24" t="n"/>
      <c r="D51" s="39" t="n"/>
      <c r="E51" s="24" t="n"/>
      <c r="F51" s="24" t="n"/>
      <c r="G51" s="24" t="n"/>
      <c r="H51" s="40" t="n"/>
      <c r="I51" s="40" t="n"/>
      <c r="J51" s="25" t="n"/>
      <c r="K51" s="24">
        <f>IF($B51="","",IF($G51="완료","-",I51-TODAY()))</f>
        <v/>
      </c>
      <c r="L51" s="39" t="n"/>
    </row>
    <row r="52">
      <c r="B52" s="24" t="n"/>
      <c r="C52" s="24" t="n"/>
      <c r="D52" s="39" t="n"/>
      <c r="E52" s="24" t="n"/>
      <c r="F52" s="24" t="n"/>
      <c r="G52" s="24" t="n"/>
      <c r="H52" s="40" t="n"/>
      <c r="I52" s="40" t="n"/>
      <c r="J52" s="25" t="n"/>
      <c r="K52" s="24">
        <f>IF($B52="","",IF($G52="완료","-",I52-TODAY()))</f>
        <v/>
      </c>
      <c r="L52" s="39" t="n"/>
    </row>
    <row r="53">
      <c r="B53" s="24" t="n"/>
      <c r="C53" s="24" t="n"/>
      <c r="D53" s="39" t="n"/>
      <c r="E53" s="24" t="n"/>
      <c r="F53" s="24" t="n"/>
      <c r="G53" s="24" t="n"/>
      <c r="H53" s="40" t="n"/>
      <c r="I53" s="40" t="n"/>
      <c r="J53" s="25" t="n"/>
      <c r="K53" s="24">
        <f>IF($B53="","",IF($G53="완료","-",I53-TODAY()))</f>
        <v/>
      </c>
      <c r="L53" s="39" t="n"/>
    </row>
    <row r="54">
      <c r="B54" s="24" t="n"/>
      <c r="C54" s="24" t="n"/>
      <c r="D54" s="39" t="n"/>
      <c r="E54" s="24" t="n"/>
      <c r="F54" s="24" t="n"/>
      <c r="G54" s="24" t="n"/>
      <c r="H54" s="40" t="n"/>
      <c r="I54" s="40" t="n"/>
      <c r="J54" s="25" t="n"/>
      <c r="K54" s="24">
        <f>IF($B54="","",IF($G54="완료","-",I54-TODAY()))</f>
        <v/>
      </c>
      <c r="L54" s="39" t="n"/>
    </row>
    <row r="55">
      <c r="B55" s="24" t="n"/>
      <c r="C55" s="24" t="n"/>
      <c r="D55" s="39" t="n"/>
      <c r="E55" s="24" t="n"/>
      <c r="F55" s="24" t="n"/>
      <c r="G55" s="24" t="n"/>
      <c r="H55" s="40" t="n"/>
      <c r="I55" s="40" t="n"/>
      <c r="J55" s="25" t="n"/>
      <c r="K55" s="24">
        <f>IF($B55="","",IF($G55="완료","-",I55-TODAY()))</f>
        <v/>
      </c>
      <c r="L55" s="39" t="n"/>
    </row>
    <row r="56">
      <c r="B56" s="24" t="n"/>
      <c r="C56" s="24" t="n"/>
      <c r="D56" s="39" t="n"/>
      <c r="E56" s="24" t="n"/>
      <c r="F56" s="24" t="n"/>
      <c r="G56" s="24" t="n"/>
      <c r="H56" s="40" t="n"/>
      <c r="I56" s="40" t="n"/>
      <c r="J56" s="25" t="n"/>
      <c r="K56" s="24">
        <f>IF($B56="","",IF($G56="완료","-",I56-TODAY()))</f>
        <v/>
      </c>
      <c r="L56" s="39" t="n"/>
    </row>
    <row r="57">
      <c r="B57" s="24" t="n"/>
      <c r="C57" s="24" t="n"/>
      <c r="D57" s="39" t="n"/>
      <c r="E57" s="24" t="n"/>
      <c r="F57" s="24" t="n"/>
      <c r="G57" s="24" t="n"/>
      <c r="H57" s="40" t="n"/>
      <c r="I57" s="40" t="n"/>
      <c r="J57" s="25" t="n"/>
      <c r="K57" s="24">
        <f>IF($B57="","",IF($G57="완료","-",I57-TODAY()))</f>
        <v/>
      </c>
      <c r="L57" s="39" t="n"/>
    </row>
    <row r="58">
      <c r="B58" s="24" t="n"/>
      <c r="C58" s="24" t="n"/>
      <c r="D58" s="39" t="n"/>
      <c r="E58" s="24" t="n"/>
      <c r="F58" s="24" t="n"/>
      <c r="G58" s="24" t="n"/>
      <c r="H58" s="40" t="n"/>
      <c r="I58" s="40" t="n"/>
      <c r="J58" s="25" t="n"/>
      <c r="K58" s="24">
        <f>IF($B58="","",IF($G58="완료","-",I58-TODAY()))</f>
        <v/>
      </c>
      <c r="L58" s="39" t="n"/>
    </row>
    <row r="59">
      <c r="B59" s="24" t="n"/>
      <c r="C59" s="24" t="n"/>
      <c r="D59" s="39" t="n"/>
      <c r="E59" s="24" t="n"/>
      <c r="F59" s="24" t="n"/>
      <c r="G59" s="24" t="n"/>
      <c r="H59" s="40" t="n"/>
      <c r="I59" s="40" t="n"/>
      <c r="J59" s="25" t="n"/>
      <c r="K59" s="24">
        <f>IF($B59="","",IF($G59="완료","-",I59-TODAY()))</f>
        <v/>
      </c>
      <c r="L59" s="39" t="n"/>
    </row>
    <row r="60">
      <c r="B60" s="24" t="n"/>
      <c r="C60" s="24" t="n"/>
      <c r="D60" s="39" t="n"/>
      <c r="E60" s="24" t="n"/>
      <c r="F60" s="24" t="n"/>
      <c r="G60" s="24" t="n"/>
      <c r="H60" s="40" t="n"/>
      <c r="I60" s="40" t="n"/>
      <c r="J60" s="25" t="n"/>
      <c r="K60" s="24">
        <f>IF($B60="","",IF($G60="완료","-",I60-TODAY()))</f>
        <v/>
      </c>
      <c r="L60" s="39" t="n"/>
    </row>
    <row r="61">
      <c r="B61" s="24" t="n"/>
      <c r="C61" s="24" t="n"/>
      <c r="D61" s="39" t="n"/>
      <c r="E61" s="24" t="n"/>
      <c r="F61" s="24" t="n"/>
      <c r="G61" s="24" t="n"/>
      <c r="H61" s="40" t="n"/>
      <c r="I61" s="40" t="n"/>
      <c r="J61" s="25" t="n"/>
      <c r="K61" s="24">
        <f>IF($B61="","",IF($G61="완료","-",I61-TODAY()))</f>
        <v/>
      </c>
      <c r="L61" s="39" t="n"/>
    </row>
    <row r="62">
      <c r="B62" s="24" t="n"/>
      <c r="C62" s="24" t="n"/>
      <c r="D62" s="39" t="n"/>
      <c r="E62" s="24" t="n"/>
      <c r="F62" s="24" t="n"/>
      <c r="G62" s="24" t="n"/>
      <c r="H62" s="40" t="n"/>
      <c r="I62" s="40" t="n"/>
      <c r="J62" s="25" t="n"/>
      <c r="K62" s="24">
        <f>IF($B62="","",IF($G62="완료","-",I62-TODAY()))</f>
        <v/>
      </c>
      <c r="L62" s="39" t="n"/>
    </row>
    <row r="63">
      <c r="B63" s="24" t="n"/>
      <c r="C63" s="24" t="n"/>
      <c r="D63" s="39" t="n"/>
      <c r="E63" s="24" t="n"/>
      <c r="F63" s="24" t="n"/>
      <c r="G63" s="24" t="n"/>
      <c r="H63" s="40" t="n"/>
      <c r="I63" s="40" t="n"/>
      <c r="J63" s="25" t="n"/>
      <c r="K63" s="24">
        <f>IF($B63="","",IF($G63="완료","-",I63-TODAY()))</f>
        <v/>
      </c>
      <c r="L63" s="39" t="n"/>
    </row>
    <row r="64">
      <c r="B64" s="24" t="n"/>
      <c r="C64" s="24" t="n"/>
      <c r="D64" s="39" t="n"/>
      <c r="E64" s="24" t="n"/>
      <c r="F64" s="24" t="n"/>
      <c r="G64" s="24" t="n"/>
      <c r="H64" s="40" t="n"/>
      <c r="I64" s="40" t="n"/>
      <c r="J64" s="25" t="n"/>
      <c r="K64" s="24">
        <f>IF($B64="","",IF($G64="완료","-",I64-TODAY()))</f>
        <v/>
      </c>
      <c r="L64" s="39" t="n"/>
    </row>
    <row r="65">
      <c r="B65" s="24" t="n"/>
      <c r="C65" s="24" t="n"/>
      <c r="D65" s="39" t="n"/>
      <c r="E65" s="24" t="n"/>
      <c r="F65" s="24" t="n"/>
      <c r="G65" s="24" t="n"/>
      <c r="H65" s="40" t="n"/>
      <c r="I65" s="40" t="n"/>
      <c r="J65" s="25" t="n"/>
      <c r="K65" s="24">
        <f>IF($B65="","",IF($G65="완료","-",I65-TODAY()))</f>
        <v/>
      </c>
      <c r="L65" s="39" t="n"/>
    </row>
    <row r="66">
      <c r="B66" s="24" t="n"/>
      <c r="C66" s="24" t="n"/>
      <c r="D66" s="39" t="n"/>
      <c r="E66" s="24" t="n"/>
      <c r="F66" s="24" t="n"/>
      <c r="G66" s="24" t="n"/>
      <c r="H66" s="40" t="n"/>
      <c r="I66" s="40" t="n"/>
      <c r="J66" s="25" t="n"/>
      <c r="K66" s="24">
        <f>IF($B66="","",IF($G66="완료","-",I66-TODAY()))</f>
        <v/>
      </c>
      <c r="L66" s="39" t="n"/>
    </row>
    <row r="67">
      <c r="B67" s="24" t="n"/>
      <c r="C67" s="24" t="n"/>
      <c r="D67" s="39" t="n"/>
      <c r="E67" s="24" t="n"/>
      <c r="F67" s="24" t="n"/>
      <c r="G67" s="24" t="n"/>
      <c r="H67" s="40" t="n"/>
      <c r="I67" s="40" t="n"/>
      <c r="J67" s="25" t="n"/>
      <c r="K67" s="24">
        <f>IF($B67="","",IF($G67="완료","-",I67-TODAY()))</f>
        <v/>
      </c>
      <c r="L67" s="39" t="n"/>
    </row>
    <row r="68">
      <c r="B68" s="24" t="n"/>
      <c r="C68" s="24" t="n"/>
      <c r="D68" s="39" t="n"/>
      <c r="E68" s="24" t="n"/>
      <c r="F68" s="24" t="n"/>
      <c r="G68" s="24" t="n"/>
      <c r="H68" s="40" t="n"/>
      <c r="I68" s="40" t="n"/>
      <c r="J68" s="25" t="n"/>
      <c r="K68" s="24">
        <f>IF($B68="","",IF($G68="완료","-",I68-TODAY()))</f>
        <v/>
      </c>
      <c r="L68" s="39" t="n"/>
    </row>
    <row r="69">
      <c r="B69" s="24" t="n"/>
      <c r="C69" s="24" t="n"/>
      <c r="D69" s="39" t="n"/>
      <c r="E69" s="24" t="n"/>
      <c r="F69" s="24" t="n"/>
      <c r="G69" s="24" t="n"/>
      <c r="H69" s="40" t="n"/>
      <c r="I69" s="40" t="n"/>
      <c r="J69" s="25" t="n"/>
      <c r="K69" s="24">
        <f>IF($B69="","",IF($G69="완료","-",I69-TODAY()))</f>
        <v/>
      </c>
      <c r="L69" s="39" t="n"/>
    </row>
    <row r="70">
      <c r="B70" s="24" t="n"/>
      <c r="C70" s="24" t="n"/>
      <c r="D70" s="39" t="n"/>
      <c r="E70" s="24" t="n"/>
      <c r="F70" s="24" t="n"/>
      <c r="G70" s="24" t="n"/>
      <c r="H70" s="40" t="n"/>
      <c r="I70" s="40" t="n"/>
      <c r="J70" s="25" t="n"/>
      <c r="K70" s="24">
        <f>IF($B70="","",IF($G70="완료","-",I70-TODAY()))</f>
        <v/>
      </c>
      <c r="L70" s="39" t="n"/>
    </row>
    <row r="71">
      <c r="B71" s="24" t="n"/>
      <c r="C71" s="24" t="n"/>
      <c r="D71" s="39" t="n"/>
      <c r="E71" s="24" t="n"/>
      <c r="F71" s="24" t="n"/>
      <c r="G71" s="24" t="n"/>
      <c r="H71" s="40" t="n"/>
      <c r="I71" s="40" t="n"/>
      <c r="J71" s="25" t="n"/>
      <c r="K71" s="24">
        <f>IF($B71="","",IF($G71="완료","-",I71-TODAY()))</f>
        <v/>
      </c>
      <c r="L71" s="39" t="n"/>
    </row>
    <row r="72">
      <c r="B72" s="24" t="n"/>
      <c r="C72" s="24" t="n"/>
      <c r="D72" s="39" t="n"/>
      <c r="E72" s="24" t="n"/>
      <c r="F72" s="24" t="n"/>
      <c r="G72" s="24" t="n"/>
      <c r="H72" s="40" t="n"/>
      <c r="I72" s="40" t="n"/>
      <c r="J72" s="25" t="n"/>
      <c r="K72" s="24">
        <f>IF($B72="","",IF($G72="완료","-",I72-TODAY()))</f>
        <v/>
      </c>
      <c r="L72" s="39" t="n"/>
    </row>
    <row r="73">
      <c r="B73" s="24" t="n"/>
      <c r="C73" s="24" t="n"/>
      <c r="D73" s="39" t="n"/>
      <c r="E73" s="24" t="n"/>
      <c r="F73" s="24" t="n"/>
      <c r="G73" s="24" t="n"/>
      <c r="H73" s="40" t="n"/>
      <c r="I73" s="40" t="n"/>
      <c r="J73" s="25" t="n"/>
      <c r="K73" s="24">
        <f>IF($B73="","",IF($G73="완료","-",I73-TODAY()))</f>
        <v/>
      </c>
      <c r="L73" s="39" t="n"/>
    </row>
    <row r="74">
      <c r="B74" s="24" t="n"/>
      <c r="C74" s="24" t="n"/>
      <c r="D74" s="39" t="n"/>
      <c r="E74" s="24" t="n"/>
      <c r="F74" s="24" t="n"/>
      <c r="G74" s="24" t="n"/>
      <c r="H74" s="40" t="n"/>
      <c r="I74" s="40" t="n"/>
      <c r="J74" s="25" t="n"/>
      <c r="K74" s="24">
        <f>IF($B74="","",IF($G74="완료","-",I74-TODAY()))</f>
        <v/>
      </c>
      <c r="L74" s="39" t="n"/>
    </row>
    <row r="75">
      <c r="B75" s="24" t="n"/>
      <c r="C75" s="24" t="n"/>
      <c r="D75" s="39" t="n"/>
      <c r="E75" s="24" t="n"/>
      <c r="F75" s="24" t="n"/>
      <c r="G75" s="24" t="n"/>
      <c r="H75" s="40" t="n"/>
      <c r="I75" s="40" t="n"/>
      <c r="J75" s="25" t="n"/>
      <c r="K75" s="24">
        <f>IF($B75="","",IF($G75="완료","-",I75-TODAY()))</f>
        <v/>
      </c>
      <c r="L75" s="39" t="n"/>
    </row>
    <row r="76">
      <c r="B76" s="24" t="n"/>
      <c r="C76" s="24" t="n"/>
      <c r="D76" s="39" t="n"/>
      <c r="E76" s="24" t="n"/>
      <c r="F76" s="24" t="n"/>
      <c r="G76" s="24" t="n"/>
      <c r="H76" s="40" t="n"/>
      <c r="I76" s="40" t="n"/>
      <c r="J76" s="25" t="n"/>
      <c r="K76" s="24">
        <f>IF($B76="","",IF($G76="완료","-",I76-TODAY()))</f>
        <v/>
      </c>
      <c r="L76" s="39" t="n"/>
    </row>
    <row r="77">
      <c r="B77" s="24" t="n"/>
      <c r="C77" s="24" t="n"/>
      <c r="D77" s="39" t="n"/>
      <c r="E77" s="24" t="n"/>
      <c r="F77" s="24" t="n"/>
      <c r="G77" s="24" t="n"/>
      <c r="H77" s="40" t="n"/>
      <c r="I77" s="40" t="n"/>
      <c r="J77" s="25" t="n"/>
      <c r="K77" s="24">
        <f>IF($B77="","",IF($G77="완료","-",I77-TODAY()))</f>
        <v/>
      </c>
      <c r="L77" s="39" t="n"/>
    </row>
    <row r="78">
      <c r="B78" s="24" t="n"/>
      <c r="C78" s="24" t="n"/>
      <c r="D78" s="39" t="n"/>
      <c r="E78" s="24" t="n"/>
      <c r="F78" s="24" t="n"/>
      <c r="G78" s="24" t="n"/>
      <c r="H78" s="40" t="n"/>
      <c r="I78" s="40" t="n"/>
      <c r="J78" s="25" t="n"/>
      <c r="K78" s="24">
        <f>IF($B78="","",IF($G78="완료","-",I78-TODAY()))</f>
        <v/>
      </c>
      <c r="L78" s="39" t="n"/>
    </row>
    <row r="79">
      <c r="B79" s="24" t="n"/>
      <c r="C79" s="24" t="n"/>
      <c r="D79" s="39" t="n"/>
      <c r="E79" s="24" t="n"/>
      <c r="F79" s="24" t="n"/>
      <c r="G79" s="24" t="n"/>
      <c r="H79" s="40" t="n"/>
      <c r="I79" s="40" t="n"/>
      <c r="J79" s="25" t="n"/>
      <c r="K79" s="24">
        <f>IF($B79="","",IF($G79="완료","-",I79-TODAY()))</f>
        <v/>
      </c>
      <c r="L79" s="39" t="n"/>
    </row>
    <row r="80">
      <c r="B80" s="24" t="n"/>
      <c r="C80" s="24" t="n"/>
      <c r="D80" s="39" t="n"/>
      <c r="E80" s="24" t="n"/>
      <c r="F80" s="24" t="n"/>
      <c r="G80" s="24" t="n"/>
      <c r="H80" s="40" t="n"/>
      <c r="I80" s="40" t="n"/>
      <c r="J80" s="25" t="n"/>
      <c r="K80" s="24">
        <f>IF($B80="","",IF($G80="완료","-",I80-TODAY()))</f>
        <v/>
      </c>
      <c r="L80" s="39" t="n"/>
    </row>
    <row r="81">
      <c r="B81" s="24" t="n"/>
      <c r="C81" s="24" t="n"/>
      <c r="D81" s="39" t="n"/>
      <c r="E81" s="24" t="n"/>
      <c r="F81" s="24" t="n"/>
      <c r="G81" s="24" t="n"/>
      <c r="H81" s="40" t="n"/>
      <c r="I81" s="40" t="n"/>
      <c r="J81" s="25" t="n"/>
      <c r="K81" s="24">
        <f>IF($B81="","",IF($G81="완료","-",I81-TODAY()))</f>
        <v/>
      </c>
      <c r="L81" s="39" t="n"/>
    </row>
    <row r="82">
      <c r="B82" s="24" t="n"/>
      <c r="C82" s="24" t="n"/>
      <c r="D82" s="39" t="n"/>
      <c r="E82" s="24" t="n"/>
      <c r="F82" s="24" t="n"/>
      <c r="G82" s="24" t="n"/>
      <c r="H82" s="40" t="n"/>
      <c r="I82" s="40" t="n"/>
      <c r="J82" s="25" t="n"/>
      <c r="K82" s="24">
        <f>IF($B82="","",IF($G82="완료","-",I82-TODAY()))</f>
        <v/>
      </c>
      <c r="L82" s="39" t="n"/>
    </row>
    <row r="83">
      <c r="B83" s="24" t="n"/>
      <c r="C83" s="24" t="n"/>
      <c r="D83" s="39" t="n"/>
      <c r="E83" s="24" t="n"/>
      <c r="F83" s="24" t="n"/>
      <c r="G83" s="24" t="n"/>
      <c r="H83" s="40" t="n"/>
      <c r="I83" s="40" t="n"/>
      <c r="J83" s="25" t="n"/>
      <c r="K83" s="24">
        <f>IF($B83="","",IF($G83="완료","-",I83-TODAY()))</f>
        <v/>
      </c>
      <c r="L83" s="39" t="n"/>
    </row>
    <row r="84">
      <c r="B84" s="24" t="n"/>
      <c r="C84" s="24" t="n"/>
      <c r="D84" s="39" t="n"/>
      <c r="E84" s="24" t="n"/>
      <c r="F84" s="24" t="n"/>
      <c r="G84" s="24" t="n"/>
      <c r="H84" s="40" t="n"/>
      <c r="I84" s="40" t="n"/>
      <c r="J84" s="25" t="n"/>
      <c r="K84" s="24">
        <f>IF($B84="","",IF($G84="완료","-",I84-TODAY()))</f>
        <v/>
      </c>
      <c r="L84" s="39" t="n"/>
    </row>
    <row r="85">
      <c r="B85" s="24" t="n"/>
      <c r="C85" s="24" t="n"/>
      <c r="D85" s="39" t="n"/>
      <c r="E85" s="24" t="n"/>
      <c r="F85" s="24" t="n"/>
      <c r="G85" s="24" t="n"/>
      <c r="H85" s="40" t="n"/>
      <c r="I85" s="40" t="n"/>
      <c r="J85" s="25" t="n"/>
      <c r="K85" s="24">
        <f>IF($B85="","",IF($G85="완료","-",I85-TODAY()))</f>
        <v/>
      </c>
      <c r="L85" s="39" t="n"/>
    </row>
    <row r="86">
      <c r="B86" s="24" t="n"/>
      <c r="C86" s="24" t="n"/>
      <c r="D86" s="39" t="n"/>
      <c r="E86" s="24" t="n"/>
      <c r="F86" s="24" t="n"/>
      <c r="G86" s="24" t="n"/>
      <c r="H86" s="40" t="n"/>
      <c r="I86" s="40" t="n"/>
      <c r="J86" s="25" t="n"/>
      <c r="K86" s="24">
        <f>IF($B86="","",IF($G86="완료","-",I86-TODAY()))</f>
        <v/>
      </c>
      <c r="L86" s="39" t="n"/>
    </row>
    <row r="87">
      <c r="B87" s="24" t="n"/>
      <c r="C87" s="24" t="n"/>
      <c r="D87" s="39" t="n"/>
      <c r="E87" s="24" t="n"/>
      <c r="F87" s="24" t="n"/>
      <c r="G87" s="24" t="n"/>
      <c r="H87" s="40" t="n"/>
      <c r="I87" s="40" t="n"/>
      <c r="J87" s="25" t="n"/>
      <c r="K87" s="24">
        <f>IF($B87="","",IF($G87="완료","-",I87-TODAY()))</f>
        <v/>
      </c>
      <c r="L87" s="39" t="n"/>
    </row>
    <row r="88">
      <c r="B88" s="24" t="n"/>
      <c r="C88" s="24" t="n"/>
      <c r="D88" s="39" t="n"/>
      <c r="E88" s="24" t="n"/>
      <c r="F88" s="24" t="n"/>
      <c r="G88" s="24" t="n"/>
      <c r="H88" s="40" t="n"/>
      <c r="I88" s="40" t="n"/>
      <c r="J88" s="25" t="n"/>
      <c r="K88" s="24">
        <f>IF($B88="","",IF($G88="완료","-",I88-TODAY()))</f>
        <v/>
      </c>
      <c r="L88" s="39" t="n"/>
    </row>
    <row r="89">
      <c r="B89" s="24" t="n"/>
      <c r="C89" s="24" t="n"/>
      <c r="D89" s="39" t="n"/>
      <c r="E89" s="24" t="n"/>
      <c r="F89" s="24" t="n"/>
      <c r="G89" s="24" t="n"/>
      <c r="H89" s="40" t="n"/>
      <c r="I89" s="40" t="n"/>
      <c r="J89" s="25" t="n"/>
      <c r="K89" s="24">
        <f>IF($B89="","",IF($G89="완료","-",I89-TODAY()))</f>
        <v/>
      </c>
      <c r="L89" s="39" t="n"/>
    </row>
    <row r="90">
      <c r="B90" s="24" t="n"/>
      <c r="C90" s="24" t="n"/>
      <c r="D90" s="39" t="n"/>
      <c r="E90" s="24" t="n"/>
      <c r="F90" s="24" t="n"/>
      <c r="G90" s="24" t="n"/>
      <c r="H90" s="40" t="n"/>
      <c r="I90" s="40" t="n"/>
      <c r="J90" s="25" t="n"/>
      <c r="K90" s="24">
        <f>IF($B90="","",IF($G90="완료","-",I90-TODAY()))</f>
        <v/>
      </c>
      <c r="L90" s="39" t="n"/>
    </row>
    <row r="91">
      <c r="B91" s="24" t="n"/>
      <c r="C91" s="24" t="n"/>
      <c r="D91" s="39" t="n"/>
      <c r="E91" s="24" t="n"/>
      <c r="F91" s="24" t="n"/>
      <c r="G91" s="24" t="n"/>
      <c r="H91" s="40" t="n"/>
      <c r="I91" s="40" t="n"/>
      <c r="J91" s="25" t="n"/>
      <c r="K91" s="24">
        <f>IF($B91="","",IF($G91="완료","-",I91-TODAY()))</f>
        <v/>
      </c>
      <c r="L91" s="39" t="n"/>
    </row>
    <row r="92">
      <c r="B92" s="24" t="n"/>
      <c r="C92" s="24" t="n"/>
      <c r="D92" s="39" t="n"/>
      <c r="E92" s="24" t="n"/>
      <c r="F92" s="24" t="n"/>
      <c r="G92" s="24" t="n"/>
      <c r="H92" s="40" t="n"/>
      <c r="I92" s="40" t="n"/>
      <c r="J92" s="25" t="n"/>
      <c r="K92" s="24">
        <f>IF($B92="","",IF($G92="완료","-",I92-TODAY()))</f>
        <v/>
      </c>
      <c r="L92" s="39" t="n"/>
    </row>
    <row r="93">
      <c r="B93" s="24" t="n"/>
      <c r="C93" s="24" t="n"/>
      <c r="D93" s="39" t="n"/>
      <c r="E93" s="24" t="n"/>
      <c r="F93" s="24" t="n"/>
      <c r="G93" s="24" t="n"/>
      <c r="H93" s="40" t="n"/>
      <c r="I93" s="40" t="n"/>
      <c r="J93" s="25" t="n"/>
      <c r="K93" s="24">
        <f>IF($B93="","",IF($G93="완료","-",I93-TODAY()))</f>
        <v/>
      </c>
      <c r="L93" s="39" t="n"/>
    </row>
    <row r="94">
      <c r="B94" s="24" t="n"/>
      <c r="C94" s="24" t="n"/>
      <c r="D94" s="39" t="n"/>
      <c r="E94" s="24" t="n"/>
      <c r="F94" s="24" t="n"/>
      <c r="G94" s="24" t="n"/>
      <c r="H94" s="40" t="n"/>
      <c r="I94" s="40" t="n"/>
      <c r="J94" s="25" t="n"/>
      <c r="K94" s="24">
        <f>IF($B94="","",IF($G94="완료","-",I94-TODAY()))</f>
        <v/>
      </c>
      <c r="L94" s="39" t="n"/>
    </row>
    <row r="95">
      <c r="B95" s="24" t="n"/>
      <c r="C95" s="24" t="n"/>
      <c r="D95" s="39" t="n"/>
      <c r="E95" s="24" t="n"/>
      <c r="F95" s="24" t="n"/>
      <c r="G95" s="24" t="n"/>
      <c r="H95" s="40" t="n"/>
      <c r="I95" s="40" t="n"/>
      <c r="J95" s="25" t="n"/>
      <c r="K95" s="24">
        <f>IF($B95="","",IF($G95="완료","-",I95-TODAY()))</f>
        <v/>
      </c>
      <c r="L95" s="39" t="n"/>
    </row>
    <row r="96">
      <c r="B96" s="24" t="n"/>
      <c r="C96" s="24" t="n"/>
      <c r="D96" s="39" t="n"/>
      <c r="E96" s="24" t="n"/>
      <c r="F96" s="24" t="n"/>
      <c r="G96" s="24" t="n"/>
      <c r="H96" s="40" t="n"/>
      <c r="I96" s="40" t="n"/>
      <c r="J96" s="25" t="n"/>
      <c r="K96" s="24">
        <f>IF($B96="","",IF($G96="완료","-",I96-TODAY()))</f>
        <v/>
      </c>
      <c r="L96" s="39" t="n"/>
    </row>
    <row r="97">
      <c r="B97" s="24" t="n"/>
      <c r="C97" s="24" t="n"/>
      <c r="D97" s="39" t="n"/>
      <c r="E97" s="24" t="n"/>
      <c r="F97" s="24" t="n"/>
      <c r="G97" s="24" t="n"/>
      <c r="H97" s="40" t="n"/>
      <c r="I97" s="40" t="n"/>
      <c r="J97" s="25" t="n"/>
      <c r="K97" s="24">
        <f>IF($B97="","",IF($G97="완료","-",I97-TODAY()))</f>
        <v/>
      </c>
      <c r="L97" s="39" t="n"/>
    </row>
    <row r="98">
      <c r="B98" s="24" t="n"/>
      <c r="C98" s="24" t="n"/>
      <c r="D98" s="39" t="n"/>
      <c r="E98" s="24" t="n"/>
      <c r="F98" s="24" t="n"/>
      <c r="G98" s="24" t="n"/>
      <c r="H98" s="40" t="n"/>
      <c r="I98" s="40" t="n"/>
      <c r="J98" s="25" t="n"/>
      <c r="K98" s="24">
        <f>IF($B98="","",IF($G98="완료","-",I98-TODAY()))</f>
        <v/>
      </c>
      <c r="L98" s="39" t="n"/>
    </row>
    <row r="99">
      <c r="B99" s="24" t="n"/>
      <c r="C99" s="24" t="n"/>
      <c r="D99" s="39" t="n"/>
      <c r="E99" s="24" t="n"/>
      <c r="F99" s="24" t="n"/>
      <c r="G99" s="24" t="n"/>
      <c r="H99" s="40" t="n"/>
      <c r="I99" s="40" t="n"/>
      <c r="J99" s="25" t="n"/>
      <c r="K99" s="24">
        <f>IF($B99="","",IF($G99="완료","-",I99-TODAY()))</f>
        <v/>
      </c>
      <c r="L99" s="39" t="n"/>
    </row>
    <row r="100">
      <c r="B100" s="24" t="n"/>
      <c r="C100" s="24" t="n"/>
      <c r="D100" s="39" t="n"/>
      <c r="E100" s="24" t="n"/>
      <c r="F100" s="24" t="n"/>
      <c r="G100" s="24" t="n"/>
      <c r="H100" s="40" t="n"/>
      <c r="I100" s="40" t="n"/>
      <c r="J100" s="25" t="n"/>
      <c r="K100" s="24">
        <f>IF($B100="","",IF($G100="완료","-",I100-TODAY()))</f>
        <v/>
      </c>
      <c r="L100" s="39" t="n"/>
    </row>
    <row r="101">
      <c r="B101" s="24" t="n"/>
      <c r="C101" s="24" t="n"/>
      <c r="D101" s="39" t="n"/>
      <c r="E101" s="24" t="n"/>
      <c r="F101" s="24" t="n"/>
      <c r="G101" s="24" t="n"/>
      <c r="H101" s="40" t="n"/>
      <c r="I101" s="40" t="n"/>
      <c r="J101" s="25" t="n"/>
      <c r="K101" s="24">
        <f>IF($B101="","",IF($G101="완료","-",I101-TODAY()))</f>
        <v/>
      </c>
      <c r="L101" s="39" t="n"/>
    </row>
    <row r="102">
      <c r="B102" s="24" t="n"/>
      <c r="C102" s="24" t="n"/>
      <c r="D102" s="39" t="n"/>
      <c r="E102" s="24" t="n"/>
      <c r="F102" s="24" t="n"/>
      <c r="G102" s="24" t="n"/>
      <c r="H102" s="40" t="n"/>
      <c r="I102" s="40" t="n"/>
      <c r="J102" s="25" t="n"/>
      <c r="K102" s="24">
        <f>IF($B102="","",IF($G102="완료","-",I102-TODAY()))</f>
        <v/>
      </c>
      <c r="L102" s="39" t="n"/>
    </row>
    <row r="103">
      <c r="B103" s="24" t="n"/>
      <c r="C103" s="24" t="n"/>
      <c r="D103" s="39" t="n"/>
      <c r="E103" s="24" t="n"/>
      <c r="F103" s="24" t="n"/>
      <c r="G103" s="24" t="n"/>
      <c r="H103" s="40" t="n"/>
      <c r="I103" s="40" t="n"/>
      <c r="J103" s="25" t="n"/>
      <c r="K103" s="24">
        <f>IF($B103="","",IF($G103="완료","-",I103-TODAY()))</f>
        <v/>
      </c>
      <c r="L103" s="39" t="n"/>
    </row>
    <row r="104">
      <c r="B104" s="24" t="n"/>
      <c r="C104" s="24" t="n"/>
      <c r="D104" s="39" t="n"/>
      <c r="E104" s="24" t="n"/>
      <c r="F104" s="24" t="n"/>
      <c r="G104" s="24" t="n"/>
      <c r="H104" s="40" t="n"/>
      <c r="I104" s="40" t="n"/>
      <c r="J104" s="25" t="n"/>
      <c r="K104" s="24">
        <f>IF($B104="","",IF($G104="완료","-",I104-TODAY()))</f>
        <v/>
      </c>
      <c r="L104" s="39" t="n"/>
    </row>
    <row r="105">
      <c r="B105" s="24" t="n"/>
      <c r="C105" s="24" t="n"/>
      <c r="D105" s="39" t="n"/>
      <c r="E105" s="24" t="n"/>
      <c r="F105" s="24" t="n"/>
      <c r="G105" s="24" t="n"/>
      <c r="H105" s="40" t="n"/>
      <c r="I105" s="40" t="n"/>
      <c r="J105" s="25" t="n"/>
      <c r="K105" s="24">
        <f>IF($B105="","",IF($G105="완료","-",I105-TODAY()))</f>
        <v/>
      </c>
      <c r="L105" s="39" t="n"/>
    </row>
  </sheetData>
  <autoFilter ref="B5:L105"/>
  <conditionalFormatting sqref="G6:G105">
    <cfRule type="cellIs" priority="1" operator="equal" dxfId="0">
      <formula>"계획"</formula>
    </cfRule>
    <cfRule type="cellIs" priority="2" operator="equal" dxfId="1">
      <formula>"진행중"</formula>
    </cfRule>
    <cfRule type="cellIs" priority="3" operator="equal" dxfId="2">
      <formula>"완료"</formula>
    </cfRule>
    <cfRule type="cellIs" priority="4" operator="equal" dxfId="3">
      <formula>"보류"</formula>
    </cfRule>
    <cfRule type="cellIs" priority="5" operator="equal" dxfId="4">
      <formula>"지연"</formula>
    </cfRule>
  </conditionalFormatting>
  <conditionalFormatting sqref="J6:J105">
    <cfRule type="dataBar" priority="6">
      <dataBar showValue="1">
        <cfvo type="num" val="0"/>
        <cfvo type="num" val="1"/>
        <color rgb="002E75B6"/>
      </dataBar>
    </cfRule>
  </conditionalFormatting>
  <conditionalFormatting sqref="K6:K105">
    <cfRule type="expression" priority="7" dxfId="4">
      <formula>AND($B6&lt;&gt;"",$G6&lt;&gt;"완료",ISNUMBER($K6),$K6&lt;0)</formula>
    </cfRule>
  </conditionalFormatting>
  <dataValidations count="3">
    <dataValidation sqref="G6:G105" showDropDown="0" showInputMessage="0" showErrorMessage="0" allowBlank="1" type="list">
      <formula1>=상태목록</formula1>
    </dataValidation>
    <dataValidation sqref="F6:F105" showDropDown="0" showInputMessage="0" showErrorMessage="0" allowBlank="1" type="list">
      <formula1>=우선순위목록</formula1>
    </dataValidation>
    <dataValidation sqref="E6:E105" showDropDown="0" showInputMessage="0" showErrorMessage="0" allowBlank="1" type="list">
      <formula1>=팀원목록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E35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9" customWidth="1" min="3" max="3"/>
    <col width="11" customWidth="1" min="4" max="4"/>
    <col width="11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</cols>
  <sheetData>
    <row r="2">
      <c r="B2" s="37" t="inlineStr">
        <is>
          <t>📊 간트차트 (주 단위 타임라인)</t>
        </is>
      </c>
      <c r="E2" s="41" t="inlineStr">
        <is>
          <t>기준일:</t>
        </is>
      </c>
      <c r="F2" s="42" t="n">
        <v>46146</v>
      </c>
    </row>
    <row r="3">
      <c r="B3" s="38" t="inlineStr">
        <is>
          <t>F2 셀의 시작 기준일을 바꾸면 전체 타임라인이 이동합니다. 프로젝트 시트 데이터가 자동 반영됩니다.</t>
        </is>
      </c>
    </row>
    <row r="5" ht="30" customHeight="1">
      <c r="B5" s="22" t="inlineStr">
        <is>
          <t>프로젝트명</t>
        </is>
      </c>
      <c r="C5" s="22" t="inlineStr">
        <is>
          <t>상태</t>
        </is>
      </c>
      <c r="D5" s="22" t="inlineStr">
        <is>
          <t>시작일</t>
        </is>
      </c>
      <c r="E5" s="22" t="inlineStr">
        <is>
          <t>마감일</t>
        </is>
      </c>
      <c r="F5" s="43">
        <f>$F$2+0</f>
        <v/>
      </c>
      <c r="G5" s="43">
        <f>$F$2+7</f>
        <v/>
      </c>
      <c r="H5" s="43">
        <f>$F$2+14</f>
        <v/>
      </c>
      <c r="I5" s="43">
        <f>$F$2+21</f>
        <v/>
      </c>
      <c r="J5" s="43">
        <f>$F$2+28</f>
        <v/>
      </c>
      <c r="K5" s="43">
        <f>$F$2+35</f>
        <v/>
      </c>
      <c r="L5" s="43">
        <f>$F$2+42</f>
        <v/>
      </c>
      <c r="M5" s="43">
        <f>$F$2+49</f>
        <v/>
      </c>
      <c r="N5" s="43">
        <f>$F$2+56</f>
        <v/>
      </c>
      <c r="O5" s="43">
        <f>$F$2+63</f>
        <v/>
      </c>
      <c r="P5" s="43">
        <f>$F$2+70</f>
        <v/>
      </c>
      <c r="Q5" s="43">
        <f>$F$2+77</f>
        <v/>
      </c>
      <c r="R5" s="43">
        <f>$F$2+84</f>
        <v/>
      </c>
      <c r="S5" s="43">
        <f>$F$2+91</f>
        <v/>
      </c>
      <c r="T5" s="43">
        <f>$F$2+98</f>
        <v/>
      </c>
      <c r="U5" s="43">
        <f>$F$2+105</f>
        <v/>
      </c>
      <c r="V5" s="43">
        <f>$F$2+112</f>
        <v/>
      </c>
      <c r="W5" s="43">
        <f>$F$2+119</f>
        <v/>
      </c>
      <c r="X5" s="43">
        <f>$F$2+126</f>
        <v/>
      </c>
      <c r="Y5" s="43">
        <f>$F$2+133</f>
        <v/>
      </c>
      <c r="Z5" s="43">
        <f>$F$2+140</f>
        <v/>
      </c>
      <c r="AA5" s="43">
        <f>$F$2+147</f>
        <v/>
      </c>
      <c r="AB5" s="43">
        <f>$F$2+154</f>
        <v/>
      </c>
      <c r="AC5" s="43">
        <f>$F$2+161</f>
        <v/>
      </c>
      <c r="AD5" s="43">
        <f>$F$2+168</f>
        <v/>
      </c>
      <c r="AE5" s="43">
        <f>$F$2+175</f>
        <v/>
      </c>
    </row>
    <row r="6">
      <c r="B6" s="39">
        <f>IF(프로젝트!$C6="","",프로젝트!$C6)</f>
        <v/>
      </c>
      <c r="C6" s="24">
        <f>IF(프로젝트!$C6="","",프로젝트!$G6)</f>
        <v/>
      </c>
      <c r="D6" s="40">
        <f>IF(프로젝트!$C6="","",프로젝트!$H6)</f>
        <v/>
      </c>
      <c r="E6" s="40">
        <f>IF(프로젝트!$C6="","",프로젝트!$I6)</f>
        <v/>
      </c>
      <c r="F6" s="44" t="n"/>
      <c r="G6" s="44" t="n"/>
      <c r="H6" s="44" t="n"/>
      <c r="I6" s="44" t="n"/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  <c r="AE6" s="44" t="n"/>
    </row>
    <row r="7">
      <c r="B7" s="39">
        <f>IF(프로젝트!$C7="","",프로젝트!$C7)</f>
        <v/>
      </c>
      <c r="C7" s="24">
        <f>IF(프로젝트!$C7="","",프로젝트!$G7)</f>
        <v/>
      </c>
      <c r="D7" s="40">
        <f>IF(프로젝트!$C7="","",프로젝트!$H7)</f>
        <v/>
      </c>
      <c r="E7" s="40">
        <f>IF(프로젝트!$C7="","",프로젝트!$I7)</f>
        <v/>
      </c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  <c r="AE7" s="44" t="n"/>
    </row>
    <row r="8">
      <c r="B8" s="39">
        <f>IF(프로젝트!$C8="","",프로젝트!$C8)</f>
        <v/>
      </c>
      <c r="C8" s="24">
        <f>IF(프로젝트!$C8="","",프로젝트!$G8)</f>
        <v/>
      </c>
      <c r="D8" s="40">
        <f>IF(프로젝트!$C8="","",프로젝트!$H8)</f>
        <v/>
      </c>
      <c r="E8" s="40">
        <f>IF(프로젝트!$C8="","",프로젝트!$I8)</f>
        <v/>
      </c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  <c r="AE8" s="44" t="n"/>
    </row>
    <row r="9">
      <c r="B9" s="39">
        <f>IF(프로젝트!$C9="","",프로젝트!$C9)</f>
        <v/>
      </c>
      <c r="C9" s="24">
        <f>IF(프로젝트!$C9="","",프로젝트!$G9)</f>
        <v/>
      </c>
      <c r="D9" s="40">
        <f>IF(프로젝트!$C9="","",프로젝트!$H9)</f>
        <v/>
      </c>
      <c r="E9" s="40">
        <f>IF(프로젝트!$C9="","",프로젝트!$I9)</f>
        <v/>
      </c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  <c r="AE9" s="44" t="n"/>
    </row>
    <row r="10">
      <c r="B10" s="39">
        <f>IF(프로젝트!$C10="","",프로젝트!$C10)</f>
        <v/>
      </c>
      <c r="C10" s="24">
        <f>IF(프로젝트!$C10="","",프로젝트!$G10)</f>
        <v/>
      </c>
      <c r="D10" s="40">
        <f>IF(프로젝트!$C10="","",프로젝트!$H10)</f>
        <v/>
      </c>
      <c r="E10" s="40">
        <f>IF(프로젝트!$C10="","",프로젝트!$I10)</f>
        <v/>
      </c>
      <c r="F10" s="44" t="n"/>
      <c r="G10" s="44" t="n"/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  <c r="AE10" s="44" t="n"/>
    </row>
    <row r="11">
      <c r="B11" s="39">
        <f>IF(프로젝트!$C11="","",프로젝트!$C11)</f>
        <v/>
      </c>
      <c r="C11" s="24">
        <f>IF(프로젝트!$C11="","",프로젝트!$G11)</f>
        <v/>
      </c>
      <c r="D11" s="40">
        <f>IF(프로젝트!$C11="","",프로젝트!$H11)</f>
        <v/>
      </c>
      <c r="E11" s="40">
        <f>IF(프로젝트!$C11="","",프로젝트!$I11)</f>
        <v/>
      </c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  <c r="AE11" s="44" t="n"/>
    </row>
    <row r="12">
      <c r="B12" s="39">
        <f>IF(프로젝트!$C12="","",프로젝트!$C12)</f>
        <v/>
      </c>
      <c r="C12" s="24">
        <f>IF(프로젝트!$C12="","",프로젝트!$G12)</f>
        <v/>
      </c>
      <c r="D12" s="40">
        <f>IF(프로젝트!$C12="","",프로젝트!$H12)</f>
        <v/>
      </c>
      <c r="E12" s="40">
        <f>IF(프로젝트!$C12="","",프로젝트!$I12)</f>
        <v/>
      </c>
      <c r="F12" s="44" t="n"/>
      <c r="G12" s="4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  <c r="AE12" s="44" t="n"/>
    </row>
    <row r="13">
      <c r="B13" s="39">
        <f>IF(프로젝트!$C13="","",프로젝트!$C13)</f>
        <v/>
      </c>
      <c r="C13" s="24">
        <f>IF(프로젝트!$C13="","",프로젝트!$G13)</f>
        <v/>
      </c>
      <c r="D13" s="40">
        <f>IF(프로젝트!$C13="","",프로젝트!$H13)</f>
        <v/>
      </c>
      <c r="E13" s="40">
        <f>IF(프로젝트!$C13="","",프로젝트!$I13)</f>
        <v/>
      </c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</row>
    <row r="14">
      <c r="B14" s="39">
        <f>IF(프로젝트!$C14="","",프로젝트!$C14)</f>
        <v/>
      </c>
      <c r="C14" s="24">
        <f>IF(프로젝트!$C14="","",프로젝트!$G14)</f>
        <v/>
      </c>
      <c r="D14" s="40">
        <f>IF(프로젝트!$C14="","",프로젝트!$H14)</f>
        <v/>
      </c>
      <c r="E14" s="40">
        <f>IF(프로젝트!$C14="","",프로젝트!$I14)</f>
        <v/>
      </c>
      <c r="F14" s="44" t="n"/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  <c r="AE14" s="44" t="n"/>
    </row>
    <row r="15">
      <c r="B15" s="39">
        <f>IF(프로젝트!$C15="","",프로젝트!$C15)</f>
        <v/>
      </c>
      <c r="C15" s="24">
        <f>IF(프로젝트!$C15="","",프로젝트!$G15)</f>
        <v/>
      </c>
      <c r="D15" s="40">
        <f>IF(프로젝트!$C15="","",프로젝트!$H15)</f>
        <v/>
      </c>
      <c r="E15" s="40">
        <f>IF(프로젝트!$C15="","",프로젝트!$I15)</f>
        <v/>
      </c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  <c r="AE15" s="44" t="n"/>
    </row>
    <row r="16">
      <c r="B16" s="39">
        <f>IF(프로젝트!$C16="","",프로젝트!$C16)</f>
        <v/>
      </c>
      <c r="C16" s="24">
        <f>IF(프로젝트!$C16="","",프로젝트!$G16)</f>
        <v/>
      </c>
      <c r="D16" s="40">
        <f>IF(프로젝트!$C16="","",프로젝트!$H16)</f>
        <v/>
      </c>
      <c r="E16" s="40">
        <f>IF(프로젝트!$C16="","",프로젝트!$I16)</f>
        <v/>
      </c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  <c r="AE16" s="44" t="n"/>
    </row>
    <row r="17">
      <c r="B17" s="39">
        <f>IF(프로젝트!$C17="","",프로젝트!$C17)</f>
        <v/>
      </c>
      <c r="C17" s="24">
        <f>IF(프로젝트!$C17="","",프로젝트!$G17)</f>
        <v/>
      </c>
      <c r="D17" s="40">
        <f>IF(프로젝트!$C17="","",프로젝트!$H17)</f>
        <v/>
      </c>
      <c r="E17" s="40">
        <f>IF(프로젝트!$C17="","",프로젝트!$I17)</f>
        <v/>
      </c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  <c r="AE17" s="44" t="n"/>
    </row>
    <row r="18">
      <c r="B18" s="39">
        <f>IF(프로젝트!$C18="","",프로젝트!$C18)</f>
        <v/>
      </c>
      <c r="C18" s="24">
        <f>IF(프로젝트!$C18="","",프로젝트!$G18)</f>
        <v/>
      </c>
      <c r="D18" s="40">
        <f>IF(프로젝트!$C18="","",프로젝트!$H18)</f>
        <v/>
      </c>
      <c r="E18" s="40">
        <f>IF(프로젝트!$C18="","",프로젝트!$I18)</f>
        <v/>
      </c>
      <c r="F18" s="44" t="n"/>
      <c r="G18" s="4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  <c r="AE18" s="44" t="n"/>
    </row>
    <row r="19">
      <c r="B19" s="39">
        <f>IF(프로젝트!$C19="","",프로젝트!$C19)</f>
        <v/>
      </c>
      <c r="C19" s="24">
        <f>IF(프로젝트!$C19="","",프로젝트!$G19)</f>
        <v/>
      </c>
      <c r="D19" s="40">
        <f>IF(프로젝트!$C19="","",프로젝트!$H19)</f>
        <v/>
      </c>
      <c r="E19" s="40">
        <f>IF(프로젝트!$C19="","",프로젝트!$I19)</f>
        <v/>
      </c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  <c r="AE19" s="44" t="n"/>
    </row>
    <row r="20">
      <c r="B20" s="39">
        <f>IF(프로젝트!$C20="","",프로젝트!$C20)</f>
        <v/>
      </c>
      <c r="C20" s="24">
        <f>IF(프로젝트!$C20="","",프로젝트!$G20)</f>
        <v/>
      </c>
      <c r="D20" s="40">
        <f>IF(프로젝트!$C20="","",프로젝트!$H20)</f>
        <v/>
      </c>
      <c r="E20" s="40">
        <f>IF(프로젝트!$C20="","",프로젝트!$I20)</f>
        <v/>
      </c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  <c r="AE20" s="44" t="n"/>
    </row>
    <row r="21">
      <c r="B21" s="39">
        <f>IF(프로젝트!$C21="","",프로젝트!$C21)</f>
        <v/>
      </c>
      <c r="C21" s="24">
        <f>IF(프로젝트!$C21="","",프로젝트!$G21)</f>
        <v/>
      </c>
      <c r="D21" s="40">
        <f>IF(프로젝트!$C21="","",프로젝트!$H21)</f>
        <v/>
      </c>
      <c r="E21" s="40">
        <f>IF(프로젝트!$C21="","",프로젝트!$I21)</f>
        <v/>
      </c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4" t="n"/>
    </row>
    <row r="22">
      <c r="B22" s="39">
        <f>IF(프로젝트!$C22="","",프로젝트!$C22)</f>
        <v/>
      </c>
      <c r="C22" s="24">
        <f>IF(프로젝트!$C22="","",프로젝트!$G22)</f>
        <v/>
      </c>
      <c r="D22" s="40">
        <f>IF(프로젝트!$C22="","",프로젝트!$H22)</f>
        <v/>
      </c>
      <c r="E22" s="40">
        <f>IF(프로젝트!$C22="","",프로젝트!$I22)</f>
        <v/>
      </c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  <c r="AE22" s="44" t="n"/>
    </row>
    <row r="23">
      <c r="B23" s="39">
        <f>IF(프로젝트!$C23="","",프로젝트!$C23)</f>
        <v/>
      </c>
      <c r="C23" s="24">
        <f>IF(프로젝트!$C23="","",프로젝트!$G23)</f>
        <v/>
      </c>
      <c r="D23" s="40">
        <f>IF(프로젝트!$C23="","",프로젝트!$H23)</f>
        <v/>
      </c>
      <c r="E23" s="40">
        <f>IF(프로젝트!$C23="","",프로젝트!$I23)</f>
        <v/>
      </c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</row>
    <row r="24">
      <c r="B24" s="39">
        <f>IF(프로젝트!$C24="","",프로젝트!$C24)</f>
        <v/>
      </c>
      <c r="C24" s="24">
        <f>IF(프로젝트!$C24="","",프로젝트!$G24)</f>
        <v/>
      </c>
      <c r="D24" s="40">
        <f>IF(프로젝트!$C24="","",프로젝트!$H24)</f>
        <v/>
      </c>
      <c r="E24" s="40">
        <f>IF(프로젝트!$C24="","",프로젝트!$I24)</f>
        <v/>
      </c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</row>
    <row r="25">
      <c r="B25" s="39">
        <f>IF(프로젝트!$C25="","",프로젝트!$C25)</f>
        <v/>
      </c>
      <c r="C25" s="24">
        <f>IF(프로젝트!$C25="","",프로젝트!$G25)</f>
        <v/>
      </c>
      <c r="D25" s="40">
        <f>IF(프로젝트!$C25="","",프로젝트!$H25)</f>
        <v/>
      </c>
      <c r="E25" s="40">
        <f>IF(프로젝트!$C25="","",프로젝트!$I25)</f>
        <v/>
      </c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  <c r="AE25" s="44" t="n"/>
    </row>
    <row r="26">
      <c r="B26" s="39">
        <f>IF(프로젝트!$C26="","",프로젝트!$C26)</f>
        <v/>
      </c>
      <c r="C26" s="24">
        <f>IF(프로젝트!$C26="","",프로젝트!$G26)</f>
        <v/>
      </c>
      <c r="D26" s="40">
        <f>IF(프로젝트!$C26="","",프로젝트!$H26)</f>
        <v/>
      </c>
      <c r="E26" s="40">
        <f>IF(프로젝트!$C26="","",프로젝트!$I26)</f>
        <v/>
      </c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  <c r="AE26" s="44" t="n"/>
    </row>
    <row r="27">
      <c r="B27" s="39">
        <f>IF(프로젝트!$C27="","",프로젝트!$C27)</f>
        <v/>
      </c>
      <c r="C27" s="24">
        <f>IF(프로젝트!$C27="","",프로젝트!$G27)</f>
        <v/>
      </c>
      <c r="D27" s="40">
        <f>IF(프로젝트!$C27="","",프로젝트!$H27)</f>
        <v/>
      </c>
      <c r="E27" s="40">
        <f>IF(프로젝트!$C27="","",프로젝트!$I27)</f>
        <v/>
      </c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  <c r="AE27" s="44" t="n"/>
    </row>
    <row r="28">
      <c r="B28" s="39">
        <f>IF(프로젝트!$C28="","",프로젝트!$C28)</f>
        <v/>
      </c>
      <c r="C28" s="24">
        <f>IF(프로젝트!$C28="","",프로젝트!$G28)</f>
        <v/>
      </c>
      <c r="D28" s="40">
        <f>IF(프로젝트!$C28="","",프로젝트!$H28)</f>
        <v/>
      </c>
      <c r="E28" s="40">
        <f>IF(프로젝트!$C28="","",프로젝트!$I28)</f>
        <v/>
      </c>
      <c r="F28" s="44" t="n"/>
      <c r="G28" s="44" t="n"/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  <c r="AE28" s="44" t="n"/>
    </row>
    <row r="29">
      <c r="B29" s="39">
        <f>IF(프로젝트!$C29="","",프로젝트!$C29)</f>
        <v/>
      </c>
      <c r="C29" s="24">
        <f>IF(프로젝트!$C29="","",프로젝트!$G29)</f>
        <v/>
      </c>
      <c r="D29" s="40">
        <f>IF(프로젝트!$C29="","",프로젝트!$H29)</f>
        <v/>
      </c>
      <c r="E29" s="40">
        <f>IF(프로젝트!$C29="","",프로젝트!$I29)</f>
        <v/>
      </c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  <c r="AE29" s="44" t="n"/>
    </row>
    <row r="30">
      <c r="B30" s="39">
        <f>IF(프로젝트!$C30="","",프로젝트!$C30)</f>
        <v/>
      </c>
      <c r="C30" s="24">
        <f>IF(프로젝트!$C30="","",프로젝트!$G30)</f>
        <v/>
      </c>
      <c r="D30" s="40">
        <f>IF(프로젝트!$C30="","",프로젝트!$H30)</f>
        <v/>
      </c>
      <c r="E30" s="40">
        <f>IF(프로젝트!$C30="","",프로젝트!$I30)</f>
        <v/>
      </c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  <c r="AE30" s="44" t="n"/>
    </row>
    <row r="31">
      <c r="B31" s="39">
        <f>IF(프로젝트!$C31="","",프로젝트!$C31)</f>
        <v/>
      </c>
      <c r="C31" s="24">
        <f>IF(프로젝트!$C31="","",프로젝트!$G31)</f>
        <v/>
      </c>
      <c r="D31" s="40">
        <f>IF(프로젝트!$C31="","",프로젝트!$H31)</f>
        <v/>
      </c>
      <c r="E31" s="40">
        <f>IF(프로젝트!$C31="","",프로젝트!$I31)</f>
        <v/>
      </c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  <c r="AE31" s="44" t="n"/>
    </row>
    <row r="32">
      <c r="B32" s="39">
        <f>IF(프로젝트!$C32="","",프로젝트!$C32)</f>
        <v/>
      </c>
      <c r="C32" s="24">
        <f>IF(프로젝트!$C32="","",프로젝트!$G32)</f>
        <v/>
      </c>
      <c r="D32" s="40">
        <f>IF(프로젝트!$C32="","",프로젝트!$H32)</f>
        <v/>
      </c>
      <c r="E32" s="40">
        <f>IF(프로젝트!$C32="","",프로젝트!$I32)</f>
        <v/>
      </c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  <c r="AE32" s="44" t="n"/>
    </row>
    <row r="33">
      <c r="B33" s="39">
        <f>IF(프로젝트!$C33="","",프로젝트!$C33)</f>
        <v/>
      </c>
      <c r="C33" s="24">
        <f>IF(프로젝트!$C33="","",프로젝트!$G33)</f>
        <v/>
      </c>
      <c r="D33" s="40">
        <f>IF(프로젝트!$C33="","",프로젝트!$H33)</f>
        <v/>
      </c>
      <c r="E33" s="40">
        <f>IF(프로젝트!$C33="","",프로젝트!$I33)</f>
        <v/>
      </c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  <c r="AE33" s="44" t="n"/>
    </row>
    <row r="34">
      <c r="B34" s="39">
        <f>IF(프로젝트!$C34="","",프로젝트!$C34)</f>
        <v/>
      </c>
      <c r="C34" s="24">
        <f>IF(프로젝트!$C34="","",프로젝트!$G34)</f>
        <v/>
      </c>
      <c r="D34" s="40">
        <f>IF(프로젝트!$C34="","",프로젝트!$H34)</f>
        <v/>
      </c>
      <c r="E34" s="40">
        <f>IF(프로젝트!$C34="","",프로젝트!$I34)</f>
        <v/>
      </c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  <c r="AE34" s="44" t="n"/>
    </row>
    <row r="35">
      <c r="B35" s="39">
        <f>IF(프로젝트!$C35="","",프로젝트!$C35)</f>
        <v/>
      </c>
      <c r="C35" s="24">
        <f>IF(프로젝트!$C35="","",프로젝트!$G35)</f>
        <v/>
      </c>
      <c r="D35" s="40">
        <f>IF(프로젝트!$C35="","",프로젝트!$H35)</f>
        <v/>
      </c>
      <c r="E35" s="40">
        <f>IF(프로젝트!$C35="","",프로젝트!$I35)</f>
        <v/>
      </c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  <c r="AE35" s="44" t="n"/>
    </row>
  </sheetData>
  <conditionalFormatting sqref="F6:AE35">
    <cfRule type="expression" priority="1" dxfId="7" stopIfTrue="1">
      <formula>AND($B6&lt;&gt;"",$C6="완료",F$5+6&gt;=$D6,F$5&lt;=$E6)</formula>
    </cfRule>
    <cfRule type="expression" priority="2" dxfId="8" stopIfTrue="1">
      <formula>AND($B6&lt;&gt;"",$C6="지연",F$5+6&gt;=$D6,F$5&lt;=$E6)</formula>
    </cfRule>
    <cfRule type="expression" priority="3" dxfId="9" stopIfTrue="1">
      <formula>AND($B6&lt;&gt;"",F$5+6&gt;=$D6,F$5&lt;=$E6)</formula>
    </cfRule>
    <cfRule type="expression" priority="4" dxfId="10">
      <formula>AND(TODAY()&gt;=F$5,TODAY()&lt;F$5+7)</formula>
    </cfRule>
  </conditionalFormatting>
  <conditionalFormatting sqref="C6:C35">
    <cfRule type="cellIs" priority="5" operator="equal" dxfId="0">
      <formula>"계획"</formula>
    </cfRule>
    <cfRule type="cellIs" priority="6" operator="equal" dxfId="1">
      <formula>"진행중"</formula>
    </cfRule>
    <cfRule type="cellIs" priority="7" operator="equal" dxfId="2">
      <formula>"완료"</formula>
    </cfRule>
    <cfRule type="cellIs" priority="8" operator="equal" dxfId="3">
      <formula>"보류"</formula>
    </cfRule>
    <cfRule type="cellIs" priority="9" operator="equal" dxfId="4">
      <formula>"지연"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2026-07-10T05:08:45Z</dcterms:created>
  <dcterms:modified xsi:type="dcterms:W3CDTF">2026-07-10T05:08:45Z</dcterms:modified>
</cp:coreProperties>
</file>